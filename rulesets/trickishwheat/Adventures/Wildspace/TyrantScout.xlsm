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nD\Spelljammer\Adventures\Wildspace\"/>
    </mc:Choice>
  </mc:AlternateContent>
  <xr:revisionPtr revIDLastSave="0" documentId="13_ncr:1_{6A58ADBF-D6BD-4DEC-BF2C-5301113A941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ip" sheetId="1" r:id="rId1"/>
    <sheet name="Tables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9" i="1" l="1"/>
  <c r="I5" i="2" l="1"/>
  <c r="I4" i="2"/>
  <c r="I3" i="2"/>
  <c r="I2" i="2"/>
  <c r="U5" i="1"/>
  <c r="AC6" i="1" l="1"/>
  <c r="AD6" i="1" s="1"/>
  <c r="T3" i="1"/>
  <c r="T17" i="1"/>
  <c r="H8" i="1" l="1"/>
  <c r="K3" i="1" s="1"/>
  <c r="H6" i="1" a="1"/>
  <c r="H6" i="1" s="1"/>
  <c r="AC3" i="1" l="1"/>
  <c r="AC9" i="1"/>
  <c r="AD9" i="1" s="1"/>
  <c r="L8" i="1"/>
  <c r="U12" i="1"/>
  <c r="T10" i="1" s="1"/>
  <c r="N5" i="1"/>
  <c r="M3" i="1" s="1"/>
  <c r="AC12" i="1" l="1"/>
  <c r="AJ4" i="1"/>
  <c r="AJ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<sst xmlns="http://schemas.openxmlformats.org/spreadsheetml/2006/main" count="183" uniqueCount="86">
  <si>
    <t>Tonnage</t>
  </si>
  <si>
    <t>Material</t>
  </si>
  <si>
    <t>Thick Wood</t>
  </si>
  <si>
    <t>Notes</t>
  </si>
  <si>
    <t>Materials</t>
  </si>
  <si>
    <t>Cloth</t>
  </si>
  <si>
    <t>Leather</t>
  </si>
  <si>
    <t>Crystal</t>
  </si>
  <si>
    <t>Glass</t>
  </si>
  <si>
    <t>Ceramic</t>
  </si>
  <si>
    <t>Thin Wood</t>
  </si>
  <si>
    <t>Bone</t>
  </si>
  <si>
    <t>Stone</t>
  </si>
  <si>
    <t>Metal</t>
  </si>
  <si>
    <t>Reaction mods</t>
  </si>
  <si>
    <t>Speed</t>
  </si>
  <si>
    <t>Health</t>
  </si>
  <si>
    <t>Damage</t>
  </si>
  <si>
    <t>DT</t>
  </si>
  <si>
    <t>Max</t>
  </si>
  <si>
    <t>Turn Allowance</t>
  </si>
  <si>
    <t>Helm</t>
  </si>
  <si>
    <t>Name</t>
  </si>
  <si>
    <t>Mounting</t>
  </si>
  <si>
    <t>Range</t>
  </si>
  <si>
    <t>To Hit</t>
  </si>
  <si>
    <t>Critical</t>
  </si>
  <si>
    <t>Available Quarters</t>
  </si>
  <si>
    <t>Size</t>
  </si>
  <si>
    <t>Attack</t>
  </si>
  <si>
    <t>Morale</t>
  </si>
  <si>
    <t>Defense</t>
  </si>
  <si>
    <t>Toughness</t>
  </si>
  <si>
    <t>Traits</t>
  </si>
  <si>
    <t>Total Crew Capacity</t>
  </si>
  <si>
    <t>Power</t>
  </si>
  <si>
    <t>Cargo Capacity</t>
  </si>
  <si>
    <t>Heritage</t>
  </si>
  <si>
    <t>Cost</t>
  </si>
  <si>
    <t>Class</t>
  </si>
  <si>
    <t>Bonuses</t>
  </si>
  <si>
    <t xml:space="preserve">Base </t>
  </si>
  <si>
    <t>Base</t>
  </si>
  <si>
    <t>Modifications</t>
  </si>
  <si>
    <t>Disabled?</t>
  </si>
  <si>
    <t>Description</t>
  </si>
  <si>
    <t>Weapon Space Used</t>
  </si>
  <si>
    <t>Storage Space Used</t>
  </si>
  <si>
    <t>Open Space</t>
  </si>
  <si>
    <t>Detrements</t>
  </si>
  <si>
    <t>Maneuverability Class</t>
  </si>
  <si>
    <t>Armor Class</t>
  </si>
  <si>
    <t>Damage Threshold</t>
  </si>
  <si>
    <t>Reaction Modifier</t>
  </si>
  <si>
    <t>Detriments</t>
  </si>
  <si>
    <t>Cargo/Modification</t>
  </si>
  <si>
    <t>Rams</t>
  </si>
  <si>
    <t>Forward</t>
  </si>
  <si>
    <t>Rear</t>
  </si>
  <si>
    <t>0</t>
  </si>
  <si>
    <t>A</t>
  </si>
  <si>
    <t>B</t>
  </si>
  <si>
    <t>C</t>
  </si>
  <si>
    <t>D</t>
  </si>
  <si>
    <t>E</t>
  </si>
  <si>
    <t>F</t>
  </si>
  <si>
    <t>G</t>
  </si>
  <si>
    <t>Functional Class</t>
  </si>
  <si>
    <t>Triggers</t>
  </si>
  <si>
    <t>Turn Conditions</t>
  </si>
  <si>
    <t>Executing a turn does not cost speed.</t>
  </si>
  <si>
    <t>Ship must move forward one hex before executing a turn.</t>
  </si>
  <si>
    <t>30% success when executing a turn.  Speed is spent on attempt.</t>
  </si>
  <si>
    <t xml:space="preserve"> </t>
  </si>
  <si>
    <t>Minimum Crew</t>
  </si>
  <si>
    <t>Damage/Repair Value</t>
  </si>
  <si>
    <t>Tyrant Scout</t>
  </si>
  <si>
    <t>Orbus</t>
  </si>
  <si>
    <t>Magic Missile Cannon</t>
  </si>
  <si>
    <t>Front +/-1</t>
  </si>
  <si>
    <t>3</t>
  </si>
  <si>
    <t>2d10 Force</t>
  </si>
  <si>
    <t>Powered by Beholders.  Cannot be operated by humans without a more-standard helm.  No room for a natural crew but can operate so long as the ship has at least one Beholder-kin and one Orbus.</t>
  </si>
  <si>
    <t>--</t>
  </si>
  <si>
    <t>Fires 3 bolts per turn.  Roll for each.  Can target Medium creatures at range 1. Mounted.</t>
  </si>
  <si>
    <t>Special breed of beholder that functions as a special series helm.  Each orbus contributes 1 speed for 20 tons of ship.  Up to 5 can be added to a ship, increasing the speed and size.  This ship has 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</si>
</sst>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+&quot;0"/>
  </numFmts>
  <fonts count="1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86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0" xfId="0" applyFill="1"/>
    <xf numFmtId="0" fontId="0" fillId="5" borderId="1" xfId="0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/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5" xfId="0" applyFill="1" applyBorder="1"/>
    <xf numFmtId="0" fontId="0" fillId="4" borderId="16" xfId="0" applyFill="1" applyBorder="1" applyAlignment="1">
      <alignment horizontal="center"/>
    </xf>
    <xf numFmtId="0" fontId="5" fillId="2" borderId="17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/>
    <xf numFmtId="0" fontId="5" fillId="6" borderId="16" xfId="0" applyFont="1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0" fillId="0" borderId="0" xfId="0" applyFill="1" applyBorder="1"/>
    <xf numFmtId="0" fontId="5" fillId="5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0" fontId="0" fillId="4" borderId="9" xfId="0" applyFill="1" applyBorder="1" applyAlignment="1">
      <alignment wrapText="1"/>
    </xf>
    <xf numFmtId="0" fontId="5" fillId="2" borderId="9" xfId="0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left" vertical="top" wrapText="1" indent="1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top" wrapText="1"/>
    </xf>
    <xf numFmtId="0" fontId="5" fillId="2" borderId="9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left" wrapText="1"/>
    </xf>
    <xf numFmtId="0" fontId="0" fillId="4" borderId="19" xfId="0" applyFill="1" applyBorder="1" applyAlignment="1">
      <alignment horizontal="left" wrapText="1"/>
    </xf>
    <xf numFmtId="9" fontId="7" fillId="4" borderId="9" xfId="1" applyFont="1" applyFill="1" applyBorder="1" applyAlignment="1">
      <alignment horizontal="center" vertical="center"/>
    </xf>
    <xf numFmtId="9" fontId="7" fillId="4" borderId="9" xfId="1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Z3" lockText="1" noThreeD="1"/>
</file>

<file path=xl/ctrlProps/ctrlProp2.xml><?xml version="1.0" encoding="utf-8"?>
<formControlPr xmlns="http://schemas.microsoft.com/office/spreadsheetml/2009/9/main" objectType="CheckBox" fmlaLink="$Z$5" lockText="1" noThreeD="1"/>
</file>

<file path=xl/ctrlProps/ctrlProp3.xml><?xml version="1.0" encoding="utf-8"?>
<formControlPr xmlns="http://schemas.microsoft.com/office/spreadsheetml/2009/9/main" objectType="CheckBox" fmlaLink="$Z$4" lockText="1" noThreeD="1"/>
</file>

<file path=xl/ctrlProps/ctrlProp4.xml><?xml version="1.0" encoding="utf-8"?>
<formControlPr xmlns="http://schemas.microsoft.com/office/spreadsheetml/2009/9/main" objectType="CheckBox" fmlaLink="$Z$8" lockText="1" noThreeD="1"/>
</file>

<file path=xl/ctrlProps/ctrlProp5.xml><?xml version="1.0" encoding="utf-8"?>
<formControlPr xmlns="http://schemas.microsoft.com/office/spreadsheetml/2009/9/main" objectType="CheckBox" fmlaLink="$Z$9" lockText="1" noThreeD="1"/>
</file>

<file path=xl/ctrlProps/ctrlProp6.xml><?xml version="1.0" encoding="utf-8"?>
<formControlPr xmlns="http://schemas.microsoft.com/office/spreadsheetml/2009/9/main" objectType="CheckBox" fmlaLink="$Z$10" lockText="1" noThreeD="1"/>
</file>

<file path=xl/ctrlProps/ctrlProp7.xml><?xml version="1.0" encoding="utf-8"?>
<formControlPr xmlns="http://schemas.microsoft.com/office/spreadsheetml/2009/9/main" objectType="CheckBox" checked="Checked" fmlaLink="$Z$11" lockText="1" noThreeD="1"/>
</file>

<file path=xl/ctrlProps/ctrlProp8.xml><?xml version="1.0" encoding="utf-8"?>
<formControlPr xmlns="http://schemas.microsoft.com/office/spreadsheetml/2009/9/main" objectType="CheckBox" fmlaLink="$Z$12" lockText="1" noThreeD="1"/>
</file>

<file path=xl/ctrlProps/ctrlProp9.xml><?xml version="1.0" encoding="utf-8"?>
<formControlPr xmlns="http://schemas.microsoft.com/office/spreadsheetml/2009/9/main" objectType="CheckBox" fmlaLink="$Z$13" lockText="1" noThreeD="1"/>
</file>

<file path=xl/ctrlProps/ctrlProp10.xml><?xml version="1.0" encoding="utf-8"?>
<formControlPr xmlns="http://schemas.microsoft.com/office/spreadsheetml/2009/9/main" objectType="CheckBox" fmlaLink="$Z$14" lockText="1" noThreeD="1"/>
</file>

<file path=xl/ctrlProps/ctrlProp11.xml><?xml version="1.0" encoding="utf-8"?>
<formControlPr xmlns="http://schemas.microsoft.com/office/spreadsheetml/2009/9/main" objectType="CheckBox" fmlaLink="$Z$15" lockText="1" noThreeD="1"/>
</file>

<file path=xl/ctrlProps/ctrlProp12.xml><?xml version="1.0" encoding="utf-8"?>
<formControlPr xmlns="http://schemas.microsoft.com/office/spreadsheetml/2009/9/main" objectType="CheckBox" fmlaLink="$Z$16" lockText="1" noThreeD="1"/>
</file>

<file path=xl/ctrlProps/ctrlProp13.xml><?xml version="1.0" encoding="utf-8"?>
<formControlPr xmlns="http://schemas.microsoft.com/office/spreadsheetml/2009/9/main" objectType="CheckBox" fmlaLink="$Z$17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</xdr:row>
          <xdr:rowOff>9525</xdr:rowOff>
        </xdr:from>
        <xdr:to>
          <xdr:col>24</xdr:col>
          <xdr:colOff>904875</xdr:colOff>
          <xdr:row>2</xdr:row>
          <xdr:rowOff>171450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9525</xdr:rowOff>
        </xdr:from>
        <xdr:to>
          <xdr:col>24</xdr:col>
          <xdr:colOff>904875</xdr:colOff>
          <xdr:row>4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Disabled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</xdr:row>
          <xdr:rowOff>9525</xdr:rowOff>
        </xdr:from>
        <xdr:to>
          <xdr:col>24</xdr:col>
          <xdr:colOff>904875</xdr:colOff>
          <xdr:row>3</xdr:row>
          <xdr:rowOff>171450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7</xdr:row>
          <xdr:rowOff>9525</xdr:rowOff>
        </xdr:from>
        <xdr:to>
          <xdr:col>24</xdr:col>
          <xdr:colOff>904875</xdr:colOff>
          <xdr:row>7</xdr:row>
          <xdr:rowOff>171450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Thickened Hull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8</xdr:row>
          <xdr:rowOff>9525</xdr:rowOff>
        </xdr:from>
        <xdr:to>
          <xdr:col>24</xdr:col>
          <xdr:colOff>904875</xdr:colOff>
          <xdr:row>8</xdr:row>
          <xdr:rowOff>171450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Plated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9</xdr:row>
          <xdr:rowOff>9525</xdr:rowOff>
        </xdr:from>
        <xdr:to>
          <xdr:col>24</xdr:col>
          <xdr:colOff>904875</xdr:colOff>
          <xdr:row>9</xdr:row>
          <xdr:rowOff>171450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Topped 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10</xdr:row>
          <xdr:rowOff>9525</xdr:rowOff>
        </xdr:from>
        <xdr:to>
          <xdr:col>24</xdr:col>
          <xdr:colOff>904875</xdr:colOff>
          <xdr:row>10</xdr:row>
          <xdr:rowOff>171450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Stripped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11</xdr:row>
          <xdr:rowOff>9525</xdr:rowOff>
        </xdr:from>
        <xdr:to>
          <xdr:col>24</xdr:col>
          <xdr:colOff>904875</xdr:colOff>
          <xdr:row>11</xdr:row>
          <xdr:rowOff>171450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Battle Steering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12</xdr:row>
          <xdr:rowOff>9525</xdr:rowOff>
        </xdr:from>
        <xdr:to>
          <xdr:col>24</xdr:col>
          <xdr:colOff>904875</xdr:colOff>
          <xdr:row>12</xdr:row>
          <xdr:rowOff>171450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Thinned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13</xdr:row>
          <xdr:rowOff>9525</xdr:rowOff>
        </xdr:from>
        <xdr:to>
          <xdr:col>24</xdr:col>
          <xdr:colOff>904875</xdr:colOff>
          <xdr:row>13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Mercantile Conversion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14</xdr:row>
          <xdr:rowOff>9525</xdr:rowOff>
        </xdr:from>
        <xdr:to>
          <xdr:col>24</xdr:col>
          <xdr:colOff>904875</xdr:colOff>
          <xdr:row>14</xdr:row>
          <xdr:rowOff>171450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15</xdr:row>
          <xdr:rowOff>9525</xdr:rowOff>
        </xdr:from>
        <xdr:to>
          <xdr:col>24</xdr:col>
          <xdr:colOff>904875</xdr:colOff>
          <xdr:row>15</xdr:row>
          <xdr:rowOff>171450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Forward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16</xdr:row>
          <xdr:rowOff>9525</xdr:rowOff>
        </xdr:from>
        <xdr:to>
          <xdr:col>24</xdr:col>
          <xdr:colOff>904875</xdr:colOff>
          <xdr:row>16</xdr:row>
          <xdr:rowOff>171450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Rear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190500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Damage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10</xdr:row>
          <xdr:rowOff>0</xdr:rowOff>
        </xdr:from>
        <xdr:to>
          <xdr:col>18</xdr:col>
          <xdr:colOff>9525</xdr:colOff>
          <xdr:row>12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9525</xdr:rowOff>
        </xdr:from>
        <xdr:to>
          <xdr:col>17</xdr:col>
          <xdr:colOff>0</xdr:colOff>
          <xdr:row>14</xdr:row>
          <xdr:rowOff>28575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Bypass 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12</xdr:row>
          <xdr:rowOff>9525</xdr:rowOff>
        </xdr:from>
        <xdr:to>
          <xdr:col>18</xdr:col>
          <xdr:colOff>9525</xdr:colOff>
          <xdr:row>14</xdr:row>
          <xdr:rowOff>28575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Full Repair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72"/>
  <sheetViews>
    <sheetView tabSelected="1" zoomScaleNormal="100" workbookViewId="0"/>
  </sheetViews>
  <sheetFormatPr defaultColWidth="8.85546875" defaultRowHeight="15" x14ac:dyDescent="0.25"/>
  <cols>
    <col min="1" max="1" width="4" style="8" customWidth="1"/>
    <col min="2" max="7" width="10.7109375" style="9" customWidth="1"/>
    <col min="8" max="8" width="17.28515625" style="9" hidden="1" customWidth="1"/>
    <col min="9" max="9" width="4" style="10" customWidth="1"/>
    <col min="10" max="10" width="4" style="11" customWidth="1"/>
    <col min="11" max="14" width="11.5703125" style="11" customWidth="1"/>
    <col min="15" max="15" width="4" style="10" customWidth="1"/>
    <col min="16" max="16" width="4" style="8" customWidth="1"/>
    <col min="17" max="18" width="10.7109375" style="9" customWidth="1"/>
    <col min="19" max="19" width="4" style="9" customWidth="1"/>
    <col min="20" max="21" width="13.140625" style="9" customWidth="1"/>
    <col min="22" max="22" width="3.28515625" style="10" customWidth="1"/>
    <col min="23" max="23" width="4" style="8" customWidth="1"/>
    <col min="24" max="24" width="3.28515625" style="9" customWidth="1"/>
    <col min="25" max="25" width="19.28515625" style="9" customWidth="1"/>
    <col min="26" max="26" width="5.85546875" style="9" hidden="1" customWidth="1"/>
    <col min="27" max="27" width="3.28515625" style="10" customWidth="1"/>
    <col min="28" max="28" width="3.28515625" style="8" customWidth="1"/>
    <col min="29" max="30" width="12.5703125" style="23" customWidth="1"/>
    <col min="31" max="31" width="3.28515625" style="9" customWidth="1"/>
    <col min="32" max="32" width="20.7109375" style="9" bestFit="1" customWidth="1"/>
    <col min="33" max="36" width="10.7109375" style="9" customWidth="1"/>
    <col min="37" max="37" width="20.5703125" style="9" customWidth="1"/>
    <col min="38" max="39" width="10.7109375" style="9" customWidth="1"/>
    <col min="40" max="40" width="51.7109375" style="48" customWidth="1"/>
    <col min="41" max="41" width="3.5703125" style="9" customWidth="1"/>
    <col min="42" max="42" width="24.85546875" style="23" customWidth="1"/>
    <col min="43" max="43" width="10.5703125" style="23" customWidth="1"/>
    <col min="44" max="44" width="46.28515625" style="50" customWidth="1"/>
    <col min="45" max="45" width="3.5703125" style="9" customWidth="1"/>
    <col min="46" max="46" width="3.5703125" style="16" customWidth="1"/>
    <col min="47" max="47" width="18.7109375" style="17" customWidth="1"/>
    <col min="48" max="48" width="5.28515625" style="17" customWidth="1"/>
    <col min="49" max="57" width="10.42578125" style="17" customWidth="1"/>
    <col min="58" max="58" width="3.28515625" style="18" customWidth="1"/>
    <col min="59" max="16384" width="8.85546875" style="7"/>
  </cols>
  <sheetData>
    <row r="1" spans="2:58" ht="15.75" thickBot="1" x14ac:dyDescent="0.3">
      <c r="AB1" s="12"/>
      <c r="AC1" s="22"/>
      <c r="AN1" s="9"/>
      <c r="AP1" s="22"/>
      <c r="AQ1" s="22"/>
      <c r="AR1" s="22"/>
      <c r="AS1" s="36"/>
      <c r="AT1" s="13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5"/>
    </row>
    <row r="2" spans="2:58" ht="15" customHeight="1" x14ac:dyDescent="0.25">
      <c r="B2" s="75" t="s">
        <v>76</v>
      </c>
      <c r="C2" s="76"/>
      <c r="D2" s="76"/>
      <c r="E2" s="76"/>
      <c r="F2" s="76"/>
      <c r="G2" s="77"/>
      <c r="H2" s="53"/>
      <c r="K2" s="61" t="s">
        <v>15</v>
      </c>
      <c r="L2" s="61"/>
      <c r="M2" s="61" t="s">
        <v>20</v>
      </c>
      <c r="N2" s="61"/>
      <c r="Q2" s="61" t="s">
        <v>16</v>
      </c>
      <c r="R2" s="61"/>
      <c r="T2" s="61" t="s">
        <v>51</v>
      </c>
      <c r="U2" s="61"/>
      <c r="X2" s="61" t="s">
        <v>49</v>
      </c>
      <c r="Y2" s="61"/>
      <c r="Z2" s="9" t="s">
        <v>68</v>
      </c>
      <c r="AC2" s="56" t="s">
        <v>36</v>
      </c>
      <c r="AD2" s="56"/>
      <c r="AF2" s="34" t="s">
        <v>56</v>
      </c>
      <c r="AG2" s="45"/>
      <c r="AH2" s="34" t="s">
        <v>23</v>
      </c>
      <c r="AI2" s="34" t="s">
        <v>24</v>
      </c>
      <c r="AJ2" s="34" t="s">
        <v>25</v>
      </c>
      <c r="AK2" s="34" t="s">
        <v>17</v>
      </c>
      <c r="AL2" s="45"/>
      <c r="AM2" s="43"/>
      <c r="AN2" s="34" t="s">
        <v>3</v>
      </c>
      <c r="AP2" s="30" t="s">
        <v>55</v>
      </c>
      <c r="AQ2" s="38" t="s">
        <v>0</v>
      </c>
      <c r="AR2" s="30" t="s">
        <v>45</v>
      </c>
      <c r="AU2" s="20" t="s">
        <v>34</v>
      </c>
      <c r="AW2" s="21" t="s">
        <v>28</v>
      </c>
      <c r="AX2" s="56" t="s">
        <v>22</v>
      </c>
      <c r="AY2" s="56"/>
      <c r="AZ2" s="56"/>
      <c r="BA2" s="56"/>
      <c r="BB2" s="61" t="s">
        <v>33</v>
      </c>
      <c r="BC2" s="61"/>
      <c r="BD2" s="61"/>
      <c r="BE2" s="61"/>
    </row>
    <row r="3" spans="2:58" ht="15" customHeight="1" thickBot="1" x14ac:dyDescent="0.3">
      <c r="B3" s="78"/>
      <c r="C3" s="79"/>
      <c r="D3" s="79"/>
      <c r="E3" s="79"/>
      <c r="F3" s="79"/>
      <c r="G3" s="80"/>
      <c r="H3" s="53"/>
      <c r="K3" s="71">
        <f>IF(H8,0,L5+L6-L7)</f>
        <v>2</v>
      </c>
      <c r="L3" s="71"/>
      <c r="M3" s="71">
        <f>IF(H8,0,N5+N6-N7)</f>
        <v>2</v>
      </c>
      <c r="N3" s="71"/>
      <c r="Q3" s="69">
        <v>130</v>
      </c>
      <c r="R3" s="69"/>
      <c r="T3" s="71">
        <f>U5+U6-U7</f>
        <v>16</v>
      </c>
      <c r="U3" s="71"/>
      <c r="X3" s="42"/>
      <c r="Y3" s="42"/>
      <c r="Z3" s="9" t="b">
        <v>1</v>
      </c>
      <c r="AC3" s="58">
        <f>B6-IF(Z8,MAX(2,ROUNDDOWN(0.2*B6,0)),0)-IF(Z12,MAX(2,ROUNDDOWN(0.2*B6,0)),0)+IF(Z13,MAX(1,ROUNDDOWN(0.2*B6,0)),0)+IF(Z14,MAX(1,ROUNDDOWN(0.2*B6,0)),0)-IF(Z16,MAX(1,ROUNDDOWN(0.1*B6,0)),0)-IF(Z17,MAX(1,ROUNDDOWN(0.1*B6,0)),0)+(MIN(0,AU6)*2)</f>
        <v>13</v>
      </c>
      <c r="AD3" s="58"/>
      <c r="AF3" s="35"/>
      <c r="AG3" s="46"/>
      <c r="AH3" s="35" t="s">
        <v>57</v>
      </c>
      <c r="AI3" s="24" t="s">
        <v>59</v>
      </c>
      <c r="AJ3" s="35">
        <f>T10</f>
        <v>6</v>
      </c>
      <c r="AK3" s="35"/>
      <c r="AL3" s="46"/>
      <c r="AM3" s="44"/>
      <c r="AN3" s="47"/>
      <c r="AP3" s="32"/>
      <c r="AQ3" s="39"/>
      <c r="AR3" s="49"/>
      <c r="AU3" s="58">
        <v>0</v>
      </c>
      <c r="AW3" s="58"/>
      <c r="AX3" s="62"/>
      <c r="AY3" s="63"/>
      <c r="AZ3" s="63"/>
      <c r="BA3" s="64"/>
      <c r="BB3" s="59"/>
      <c r="BC3" s="59"/>
      <c r="BD3" s="59"/>
      <c r="BE3" s="59"/>
    </row>
    <row r="4" spans="2:58" ht="14.45" customHeight="1" x14ac:dyDescent="0.25">
      <c r="K4" s="71"/>
      <c r="L4" s="71"/>
      <c r="M4" s="71"/>
      <c r="N4" s="71"/>
      <c r="Q4" s="69"/>
      <c r="R4" s="69"/>
      <c r="T4" s="71"/>
      <c r="U4" s="71"/>
      <c r="X4" s="42"/>
      <c r="Y4" s="42"/>
      <c r="Z4" s="9" t="b">
        <v>0</v>
      </c>
      <c r="AC4" s="58"/>
      <c r="AD4" s="58"/>
      <c r="AF4" s="35"/>
      <c r="AG4" s="46"/>
      <c r="AH4" s="35" t="s">
        <v>58</v>
      </c>
      <c r="AI4" s="24" t="s">
        <v>59</v>
      </c>
      <c r="AJ4" s="35">
        <f>T10</f>
        <v>6</v>
      </c>
      <c r="AK4" s="35"/>
      <c r="AL4" s="46"/>
      <c r="AM4" s="44"/>
      <c r="AN4" s="47"/>
      <c r="AP4" s="32"/>
      <c r="AQ4" s="39"/>
      <c r="AR4" s="49"/>
      <c r="AU4" s="58"/>
      <c r="AW4" s="58"/>
      <c r="AX4" s="65"/>
      <c r="AY4" s="66"/>
      <c r="AZ4" s="66"/>
      <c r="BA4" s="67"/>
      <c r="BB4" s="59"/>
      <c r="BC4" s="59"/>
      <c r="BD4" s="59"/>
      <c r="BE4" s="59"/>
    </row>
    <row r="5" spans="2:58" ht="15" customHeight="1" x14ac:dyDescent="0.25">
      <c r="B5" s="61" t="s">
        <v>0</v>
      </c>
      <c r="C5" s="61"/>
      <c r="D5" s="61" t="s">
        <v>1</v>
      </c>
      <c r="E5" s="61"/>
      <c r="F5" s="61" t="s">
        <v>50</v>
      </c>
      <c r="G5" s="61"/>
      <c r="H5" s="52" t="s">
        <v>67</v>
      </c>
      <c r="K5" s="28" t="s">
        <v>42</v>
      </c>
      <c r="L5" s="29">
        <v>2</v>
      </c>
      <c r="M5" s="28" t="s">
        <v>41</v>
      </c>
      <c r="N5" s="29">
        <f>VLOOKUP(H6,Tables!F:I,2,FALSE)</f>
        <v>2</v>
      </c>
      <c r="Q5" s="69"/>
      <c r="R5" s="69"/>
      <c r="T5" s="34" t="s">
        <v>42</v>
      </c>
      <c r="U5" s="35">
        <f>VLOOKUP(D6,Tables!B:C,2,FALSE)+Z8+Z9-Z11-Z13</f>
        <v>16</v>
      </c>
      <c r="X5" s="42"/>
      <c r="Y5" s="42"/>
      <c r="Z5" s="9" t="b">
        <v>0</v>
      </c>
      <c r="AC5" s="56" t="s">
        <v>46</v>
      </c>
      <c r="AD5" s="56"/>
      <c r="AN5" s="9"/>
      <c r="AP5" s="32"/>
      <c r="AQ5" s="39"/>
      <c r="AR5" s="49"/>
      <c r="AU5" s="20" t="s">
        <v>27</v>
      </c>
      <c r="AX5" s="26" t="s">
        <v>39</v>
      </c>
      <c r="AY5" s="60"/>
      <c r="AZ5" s="60"/>
      <c r="BA5" s="60"/>
      <c r="BB5" s="59"/>
      <c r="BC5" s="59"/>
      <c r="BD5" s="59"/>
      <c r="BE5" s="59"/>
    </row>
    <row r="6" spans="2:58" ht="15" customHeight="1" x14ac:dyDescent="0.25">
      <c r="B6" s="60">
        <v>13</v>
      </c>
      <c r="C6" s="60"/>
      <c r="D6" s="60" t="s">
        <v>12</v>
      </c>
      <c r="E6" s="60"/>
      <c r="F6" s="60" t="s">
        <v>61</v>
      </c>
      <c r="G6" s="60"/>
      <c r="H6" s="17" t="str" cm="1">
        <f t="array" ref="H6">INDEX(Tables!F:F,MIN(MAX(MATCH(F6,Tables!F:F)+Z9-Z10-Z11-Z12+Z14+Z3+Z4+(SUM(AW:AW)&lt;AU9),1),7))</f>
        <v>B</v>
      </c>
      <c r="K6" s="34" t="s">
        <v>40</v>
      </c>
      <c r="L6" s="35"/>
      <c r="M6" s="34" t="s">
        <v>40</v>
      </c>
      <c r="N6" s="35"/>
      <c r="T6" s="34" t="s">
        <v>40</v>
      </c>
      <c r="U6" s="35"/>
      <c r="AC6" s="58">
        <f>SUM(AM:AM)</f>
        <v>5</v>
      </c>
      <c r="AD6" s="85">
        <f>AC6/B6</f>
        <v>0.38461538461538464</v>
      </c>
      <c r="AF6" s="28" t="s">
        <v>22</v>
      </c>
      <c r="AG6" s="28" t="s">
        <v>44</v>
      </c>
      <c r="AH6" s="28" t="s">
        <v>23</v>
      </c>
      <c r="AI6" s="28" t="s">
        <v>24</v>
      </c>
      <c r="AJ6" s="28" t="s">
        <v>25</v>
      </c>
      <c r="AK6" s="28" t="s">
        <v>17</v>
      </c>
      <c r="AL6" s="28" t="s">
        <v>26</v>
      </c>
      <c r="AM6" s="33" t="s">
        <v>0</v>
      </c>
      <c r="AN6" s="31" t="s">
        <v>3</v>
      </c>
      <c r="AP6" s="32"/>
      <c r="AQ6" s="39"/>
      <c r="AR6" s="49"/>
      <c r="AU6" s="58">
        <v>0</v>
      </c>
      <c r="AX6" s="26" t="s">
        <v>37</v>
      </c>
      <c r="AY6" s="60"/>
      <c r="AZ6" s="60"/>
      <c r="BA6" s="60"/>
      <c r="BB6" s="59"/>
      <c r="BC6" s="59"/>
      <c r="BD6" s="59"/>
      <c r="BE6" s="59"/>
    </row>
    <row r="7" spans="2:58" ht="15" customHeight="1" x14ac:dyDescent="0.25">
      <c r="B7" s="17"/>
      <c r="C7" s="17"/>
      <c r="D7" s="17"/>
      <c r="E7" s="17"/>
      <c r="F7" s="17"/>
      <c r="G7" s="17"/>
      <c r="H7" s="52" t="s">
        <v>44</v>
      </c>
      <c r="K7" s="28" t="s">
        <v>54</v>
      </c>
      <c r="L7" s="29"/>
      <c r="M7" s="34" t="s">
        <v>54</v>
      </c>
      <c r="N7" s="29"/>
      <c r="Q7" s="61" t="s">
        <v>75</v>
      </c>
      <c r="R7" s="61"/>
      <c r="T7" s="34" t="s">
        <v>54</v>
      </c>
      <c r="U7" s="35"/>
      <c r="X7" s="61" t="s">
        <v>43</v>
      </c>
      <c r="Y7" s="61"/>
      <c r="AC7" s="58"/>
      <c r="AD7" s="85"/>
      <c r="AF7" s="29" t="s">
        <v>78</v>
      </c>
      <c r="AG7" s="29"/>
      <c r="AH7" s="29" t="s">
        <v>79</v>
      </c>
      <c r="AI7" s="24" t="s">
        <v>80</v>
      </c>
      <c r="AJ7" s="29">
        <v>7</v>
      </c>
      <c r="AK7" s="29" t="s">
        <v>81</v>
      </c>
      <c r="AL7" s="29" t="s">
        <v>83</v>
      </c>
      <c r="AM7" s="37">
        <v>5</v>
      </c>
      <c r="AN7" s="82" t="s">
        <v>84</v>
      </c>
      <c r="AP7" s="32"/>
      <c r="AQ7" s="39"/>
      <c r="AR7" s="49"/>
      <c r="AU7" s="58"/>
      <c r="AX7" s="56" t="s">
        <v>38</v>
      </c>
      <c r="AY7" s="58"/>
      <c r="AZ7" s="56" t="s">
        <v>30</v>
      </c>
      <c r="BA7" s="57"/>
      <c r="BB7" s="59"/>
      <c r="BC7" s="59"/>
      <c r="BD7" s="59"/>
      <c r="BE7" s="59"/>
    </row>
    <row r="8" spans="2:58" ht="15" customHeight="1" x14ac:dyDescent="0.25">
      <c r="B8" s="61" t="s">
        <v>3</v>
      </c>
      <c r="C8" s="61"/>
      <c r="D8" s="61"/>
      <c r="E8" s="61"/>
      <c r="F8" s="61"/>
      <c r="G8" s="61"/>
      <c r="H8" s="54" t="b">
        <f>OR(Z5,IF(AU3,SUM(AW:AW)&lt;(1+Z10),FALSE))</f>
        <v>0</v>
      </c>
      <c r="K8" s="74" t="s">
        <v>69</v>
      </c>
      <c r="L8" s="70" t="str">
        <f>IF(H8,"Disabled!",VLOOKUP(H6,Tables!F:I,4,FALSE))</f>
        <v/>
      </c>
      <c r="M8" s="70"/>
      <c r="N8" s="70"/>
      <c r="Q8" s="81"/>
      <c r="R8" s="81"/>
      <c r="X8" s="42"/>
      <c r="Y8" s="42"/>
      <c r="Z8" s="9" t="b">
        <v>0</v>
      </c>
      <c r="AC8" s="56" t="s">
        <v>47</v>
      </c>
      <c r="AD8" s="56"/>
      <c r="AF8" s="29"/>
      <c r="AG8" s="29"/>
      <c r="AH8" s="29"/>
      <c r="AI8" s="24"/>
      <c r="AJ8" s="29"/>
      <c r="AK8" s="29"/>
      <c r="AL8" s="25"/>
      <c r="AM8" s="37"/>
      <c r="AN8" s="83"/>
      <c r="AP8" s="32"/>
      <c r="AQ8" s="39"/>
      <c r="AR8" s="49"/>
      <c r="AU8" s="41" t="s">
        <v>74</v>
      </c>
      <c r="AX8" s="56"/>
      <c r="AY8" s="58"/>
      <c r="AZ8" s="56"/>
      <c r="BA8" s="57"/>
      <c r="BB8" s="59"/>
      <c r="BC8" s="59"/>
      <c r="BD8" s="59"/>
      <c r="BE8" s="59"/>
    </row>
    <row r="9" spans="2:58" ht="15" customHeight="1" x14ac:dyDescent="0.25">
      <c r="B9" s="70" t="s">
        <v>82</v>
      </c>
      <c r="C9" s="70"/>
      <c r="D9" s="70"/>
      <c r="E9" s="70"/>
      <c r="F9" s="70"/>
      <c r="G9" s="70"/>
      <c r="H9" s="23"/>
      <c r="K9" s="74"/>
      <c r="L9" s="70"/>
      <c r="M9" s="70"/>
      <c r="N9" s="70"/>
      <c r="Q9" s="81"/>
      <c r="R9" s="81"/>
      <c r="T9" s="61" t="s">
        <v>53</v>
      </c>
      <c r="U9" s="61"/>
      <c r="X9" s="42"/>
      <c r="Y9" s="42"/>
      <c r="Z9" s="9" t="b">
        <v>0</v>
      </c>
      <c r="AC9" s="58">
        <f>SUM(AQ:AQ)+MIN(AU6,0)*2</f>
        <v>0</v>
      </c>
      <c r="AD9" s="84">
        <f>AC9/B6</f>
        <v>0</v>
      </c>
      <c r="AF9" s="29"/>
      <c r="AG9" s="29"/>
      <c r="AH9" s="29"/>
      <c r="AI9" s="24"/>
      <c r="AJ9" s="29"/>
      <c r="AK9" s="29"/>
      <c r="AL9" s="29"/>
      <c r="AM9" s="37"/>
      <c r="AN9" s="55"/>
      <c r="AP9" s="32"/>
      <c r="AQ9" s="39"/>
      <c r="AR9" s="49"/>
      <c r="AU9" s="58">
        <f>ROUNDDOWN(AU3/4*(1+Z10),0)</f>
        <v>0</v>
      </c>
      <c r="AX9" s="56" t="s">
        <v>29</v>
      </c>
      <c r="AY9" s="57"/>
      <c r="AZ9" s="56" t="s">
        <v>31</v>
      </c>
      <c r="BA9" s="58"/>
      <c r="BB9" s="59"/>
      <c r="BC9" s="59"/>
      <c r="BD9" s="59"/>
      <c r="BE9" s="59"/>
    </row>
    <row r="10" spans="2:58" ht="15" customHeight="1" x14ac:dyDescent="0.25">
      <c r="B10" s="70"/>
      <c r="C10" s="70"/>
      <c r="D10" s="70"/>
      <c r="E10" s="70"/>
      <c r="F10" s="70"/>
      <c r="G10" s="70"/>
      <c r="H10" s="23"/>
      <c r="T10" s="71">
        <f>IF(H8,0,U12+U13-U14)</f>
        <v>6</v>
      </c>
      <c r="U10" s="71"/>
      <c r="X10" s="42"/>
      <c r="Y10" s="42"/>
      <c r="Z10" s="9" t="b">
        <v>0</v>
      </c>
      <c r="AC10" s="58"/>
      <c r="AD10" s="84"/>
      <c r="AF10" s="29"/>
      <c r="AG10" s="29"/>
      <c r="AH10" s="29"/>
      <c r="AI10" s="24"/>
      <c r="AJ10" s="25"/>
      <c r="AK10" s="29"/>
      <c r="AL10" s="29"/>
      <c r="AM10" s="37"/>
      <c r="AN10" s="47"/>
      <c r="AP10" s="32"/>
      <c r="AQ10" s="39"/>
      <c r="AR10" s="49"/>
      <c r="AU10" s="58"/>
      <c r="AX10" s="56"/>
      <c r="AY10" s="57"/>
      <c r="AZ10" s="56"/>
      <c r="BA10" s="58"/>
      <c r="BB10" s="59"/>
      <c r="BC10" s="59"/>
      <c r="BD10" s="59"/>
      <c r="BE10" s="59"/>
    </row>
    <row r="11" spans="2:58" x14ac:dyDescent="0.25">
      <c r="B11" s="70"/>
      <c r="C11" s="70"/>
      <c r="D11" s="70"/>
      <c r="E11" s="70"/>
      <c r="F11" s="70"/>
      <c r="G11" s="70"/>
      <c r="H11" s="23"/>
      <c r="K11" s="61" t="s">
        <v>21</v>
      </c>
      <c r="L11" s="61"/>
      <c r="M11" s="61"/>
      <c r="N11" s="61"/>
      <c r="T11" s="71"/>
      <c r="U11" s="71"/>
      <c r="X11" s="42"/>
      <c r="Y11" s="42"/>
      <c r="Z11" s="9" t="b">
        <v>1</v>
      </c>
      <c r="AC11" s="56" t="s">
        <v>48</v>
      </c>
      <c r="AD11" s="56"/>
      <c r="AF11" s="29"/>
      <c r="AG11" s="29"/>
      <c r="AH11" s="29"/>
      <c r="AI11" s="24"/>
      <c r="AJ11" s="29"/>
      <c r="AK11" s="29"/>
      <c r="AL11" s="29"/>
      <c r="AM11" s="37"/>
      <c r="AN11" s="47"/>
      <c r="AP11" s="32"/>
      <c r="AQ11" s="39"/>
      <c r="AR11" s="49"/>
      <c r="AX11" s="56" t="s">
        <v>35</v>
      </c>
      <c r="AY11" s="57"/>
      <c r="AZ11" s="56" t="s">
        <v>32</v>
      </c>
      <c r="BA11" s="58"/>
      <c r="BB11" s="59"/>
      <c r="BC11" s="59"/>
      <c r="BD11" s="59"/>
      <c r="BE11" s="59"/>
    </row>
    <row r="12" spans="2:58" ht="15" customHeight="1" x14ac:dyDescent="0.25">
      <c r="B12" s="70"/>
      <c r="C12" s="70"/>
      <c r="D12" s="70"/>
      <c r="E12" s="70"/>
      <c r="F12" s="70"/>
      <c r="G12" s="70"/>
      <c r="H12" s="23"/>
      <c r="K12" s="72" t="s">
        <v>77</v>
      </c>
      <c r="L12" s="72"/>
      <c r="M12" s="72"/>
      <c r="N12" s="72"/>
      <c r="T12" s="34" t="s">
        <v>41</v>
      </c>
      <c r="U12" s="40">
        <f>VLOOKUP(H6,Tables!F:I,3,FALSE)</f>
        <v>6</v>
      </c>
      <c r="X12" s="42"/>
      <c r="Y12" s="42"/>
      <c r="Z12" s="9" t="b">
        <v>0</v>
      </c>
      <c r="AC12" s="62">
        <f>AC3-AC6-AC9</f>
        <v>8</v>
      </c>
      <c r="AD12" s="64"/>
      <c r="AF12" s="29"/>
      <c r="AG12" s="29"/>
      <c r="AH12" s="29"/>
      <c r="AI12" s="24"/>
      <c r="AJ12" s="29"/>
      <c r="AK12" s="29"/>
      <c r="AL12" s="29"/>
      <c r="AM12" s="37"/>
      <c r="AN12" s="47"/>
      <c r="AP12" s="32"/>
      <c r="AQ12" s="39"/>
      <c r="AR12" s="49"/>
      <c r="AX12" s="56"/>
      <c r="AY12" s="57"/>
      <c r="AZ12" s="56"/>
      <c r="BA12" s="58"/>
      <c r="BB12" s="59"/>
      <c r="BC12" s="59"/>
      <c r="BD12" s="59"/>
      <c r="BE12" s="59"/>
    </row>
    <row r="13" spans="2:58" ht="14.45" customHeight="1" x14ac:dyDescent="0.25">
      <c r="B13" s="70"/>
      <c r="C13" s="70"/>
      <c r="D13" s="70"/>
      <c r="E13" s="70"/>
      <c r="F13" s="70"/>
      <c r="G13" s="70"/>
      <c r="H13" s="23"/>
      <c r="K13" s="72"/>
      <c r="L13" s="72"/>
      <c r="M13" s="72"/>
      <c r="N13" s="72"/>
      <c r="T13" s="34" t="s">
        <v>40</v>
      </c>
      <c r="U13" s="35"/>
      <c r="X13" s="42"/>
      <c r="Y13" s="42"/>
      <c r="Z13" s="9" t="b">
        <v>0</v>
      </c>
      <c r="AC13" s="65"/>
      <c r="AD13" s="67"/>
      <c r="AF13" s="29"/>
      <c r="AG13" s="29"/>
      <c r="AH13" s="29"/>
      <c r="AI13" s="24"/>
      <c r="AJ13" s="29"/>
      <c r="AK13" s="29"/>
      <c r="AL13" s="29"/>
      <c r="AM13" s="37"/>
      <c r="AN13" s="47"/>
      <c r="AP13" s="32"/>
      <c r="AQ13" s="39"/>
      <c r="AR13" s="49"/>
    </row>
    <row r="14" spans="2:58" ht="14.45" customHeight="1" x14ac:dyDescent="0.25">
      <c r="B14" s="68"/>
      <c r="C14" s="68"/>
      <c r="D14" s="68"/>
      <c r="E14" s="68"/>
      <c r="F14" s="68"/>
      <c r="G14" s="68"/>
      <c r="H14" s="23"/>
      <c r="K14" s="73" t="s">
        <v>85</v>
      </c>
      <c r="L14" s="73"/>
      <c r="M14" s="73"/>
      <c r="N14" s="73"/>
      <c r="T14" s="34" t="s">
        <v>54</v>
      </c>
      <c r="U14" s="35"/>
      <c r="X14" s="42"/>
      <c r="Y14" s="42"/>
      <c r="Z14" s="9" t="b">
        <v>0</v>
      </c>
      <c r="AF14" s="29"/>
      <c r="AG14" s="29"/>
      <c r="AH14" s="29"/>
      <c r="AI14" s="24"/>
      <c r="AJ14" s="29"/>
      <c r="AK14" s="29"/>
      <c r="AL14" s="29"/>
      <c r="AM14" s="37"/>
      <c r="AN14" s="47"/>
      <c r="AP14" s="32"/>
      <c r="AQ14" s="39"/>
      <c r="AR14" s="49"/>
      <c r="AW14" s="27" t="s">
        <v>28</v>
      </c>
      <c r="AX14" s="56" t="s">
        <v>22</v>
      </c>
      <c r="AY14" s="56"/>
      <c r="AZ14" s="56"/>
      <c r="BA14" s="56"/>
      <c r="BB14" s="61" t="s">
        <v>33</v>
      </c>
      <c r="BC14" s="61"/>
      <c r="BD14" s="61"/>
      <c r="BE14" s="61"/>
    </row>
    <row r="15" spans="2:58" ht="14.45" customHeight="1" x14ac:dyDescent="0.25">
      <c r="B15" s="68"/>
      <c r="C15" s="68"/>
      <c r="D15" s="68"/>
      <c r="E15" s="68"/>
      <c r="F15" s="68"/>
      <c r="G15" s="68"/>
      <c r="H15" s="23"/>
      <c r="K15" s="73"/>
      <c r="L15" s="73"/>
      <c r="M15" s="73"/>
      <c r="N15" s="73"/>
      <c r="X15" s="42"/>
      <c r="Y15" s="42"/>
      <c r="Z15" s="9" t="b">
        <v>0</v>
      </c>
      <c r="AF15" s="29"/>
      <c r="AG15" s="29"/>
      <c r="AH15" s="29"/>
      <c r="AI15" s="24"/>
      <c r="AJ15" s="29"/>
      <c r="AK15" s="29"/>
      <c r="AL15" s="29"/>
      <c r="AM15" s="37"/>
      <c r="AN15" s="47"/>
      <c r="AP15" s="32"/>
      <c r="AQ15" s="39"/>
      <c r="AR15" s="49"/>
      <c r="AW15" s="58"/>
      <c r="AX15" s="62"/>
      <c r="AY15" s="63"/>
      <c r="AZ15" s="63"/>
      <c r="BA15" s="64"/>
      <c r="BB15" s="59"/>
      <c r="BC15" s="59"/>
      <c r="BD15" s="59"/>
      <c r="BE15" s="59"/>
    </row>
    <row r="16" spans="2:58" ht="14.45" customHeight="1" x14ac:dyDescent="0.25">
      <c r="B16" s="68"/>
      <c r="C16" s="68"/>
      <c r="D16" s="68"/>
      <c r="E16" s="68"/>
      <c r="F16" s="68"/>
      <c r="G16" s="68"/>
      <c r="H16" s="23"/>
      <c r="K16" s="73"/>
      <c r="L16" s="73"/>
      <c r="M16" s="73"/>
      <c r="N16" s="73"/>
      <c r="T16" s="61" t="s">
        <v>52</v>
      </c>
      <c r="U16" s="61"/>
      <c r="X16" s="42"/>
      <c r="Y16" s="42"/>
      <c r="Z16" s="9" t="b">
        <v>0</v>
      </c>
      <c r="AF16" s="29"/>
      <c r="AG16" s="29"/>
      <c r="AH16" s="29"/>
      <c r="AI16" s="24"/>
      <c r="AJ16" s="29"/>
      <c r="AK16" s="29"/>
      <c r="AL16" s="29"/>
      <c r="AM16" s="37"/>
      <c r="AN16" s="47"/>
      <c r="AP16" s="32"/>
      <c r="AQ16" s="39"/>
      <c r="AR16" s="49"/>
      <c r="AW16" s="58"/>
      <c r="AX16" s="65"/>
      <c r="AY16" s="66"/>
      <c r="AZ16" s="66"/>
      <c r="BA16" s="67"/>
      <c r="BB16" s="59"/>
      <c r="BC16" s="59"/>
      <c r="BD16" s="59"/>
      <c r="BE16" s="59"/>
    </row>
    <row r="17" spans="2:57" ht="14.45" customHeight="1" x14ac:dyDescent="0.25">
      <c r="B17" s="68"/>
      <c r="C17" s="68"/>
      <c r="D17" s="68"/>
      <c r="E17" s="68"/>
      <c r="F17" s="68"/>
      <c r="G17" s="68"/>
      <c r="H17" s="23"/>
      <c r="K17" s="73"/>
      <c r="L17" s="73"/>
      <c r="M17" s="73"/>
      <c r="N17" s="73"/>
      <c r="T17" s="71">
        <f>IF((B6*10)&lt;Tables!L1,0,IF((B6*10)&lt;Tables!L2,Tables!M2,IF((B6*10)&lt;Tables!L3,Tables!M3,IF((B6*10)&lt;Tables!L4,Tables!M4,IF((B6*10)&lt;Tables!L5,Tables!M5,Tables!M6)))))</f>
        <v>10</v>
      </c>
      <c r="U17" s="71"/>
      <c r="X17" s="42"/>
      <c r="Y17" s="42"/>
      <c r="Z17" s="9" t="b">
        <v>0</v>
      </c>
      <c r="AF17" s="29"/>
      <c r="AG17" s="29"/>
      <c r="AH17" s="29"/>
      <c r="AI17" s="24"/>
      <c r="AJ17" s="29"/>
      <c r="AK17" s="29"/>
      <c r="AL17" s="29"/>
      <c r="AM17" s="37"/>
      <c r="AN17" s="47"/>
      <c r="AP17" s="32"/>
      <c r="AQ17" s="39"/>
      <c r="AR17" s="49"/>
      <c r="AX17" s="26" t="s">
        <v>39</v>
      </c>
      <c r="AY17" s="60"/>
      <c r="AZ17" s="60"/>
      <c r="BA17" s="60"/>
      <c r="BB17" s="59"/>
      <c r="BC17" s="59"/>
      <c r="BD17" s="59"/>
      <c r="BE17" s="59"/>
    </row>
    <row r="18" spans="2:57" ht="14.45" customHeight="1" x14ac:dyDescent="0.25">
      <c r="B18" s="68"/>
      <c r="C18" s="68"/>
      <c r="D18" s="68"/>
      <c r="E18" s="68"/>
      <c r="F18" s="68"/>
      <c r="G18" s="68"/>
      <c r="H18" s="23"/>
      <c r="K18" s="73"/>
      <c r="L18" s="73"/>
      <c r="M18" s="73"/>
      <c r="N18" s="73"/>
      <c r="T18" s="71"/>
      <c r="U18" s="71"/>
      <c r="AF18" s="29"/>
      <c r="AG18" s="29"/>
      <c r="AH18" s="29"/>
      <c r="AI18" s="24"/>
      <c r="AJ18" s="29"/>
      <c r="AK18" s="29"/>
      <c r="AL18" s="29"/>
      <c r="AM18" s="37"/>
      <c r="AN18" s="47"/>
      <c r="AP18" s="32"/>
      <c r="AQ18" s="39"/>
      <c r="AR18" s="49"/>
      <c r="AX18" s="26" t="s">
        <v>37</v>
      </c>
      <c r="AY18" s="60"/>
      <c r="AZ18" s="60"/>
      <c r="BA18" s="60"/>
      <c r="BB18" s="59"/>
      <c r="BC18" s="59"/>
      <c r="BD18" s="59"/>
      <c r="BE18" s="59"/>
    </row>
    <row r="19" spans="2:57" ht="14.45" customHeight="1" x14ac:dyDescent="0.25">
      <c r="B19" s="68"/>
      <c r="C19" s="68"/>
      <c r="D19" s="68"/>
      <c r="E19" s="68"/>
      <c r="F19" s="68"/>
      <c r="G19" s="68"/>
      <c r="H19" s="23"/>
      <c r="K19" s="73"/>
      <c r="L19" s="73"/>
      <c r="M19" s="73"/>
      <c r="N19" s="73"/>
      <c r="AF19" s="29"/>
      <c r="AG19" s="29"/>
      <c r="AH19" s="29"/>
      <c r="AI19" s="24"/>
      <c r="AJ19" s="29"/>
      <c r="AK19" s="29"/>
      <c r="AL19" s="29"/>
      <c r="AM19" s="37"/>
      <c r="AN19" s="47"/>
      <c r="AP19" s="32"/>
      <c r="AQ19" s="39"/>
      <c r="AR19" s="49"/>
      <c r="AX19" s="56" t="s">
        <v>38</v>
      </c>
      <c r="AY19" s="58"/>
      <c r="AZ19" s="56" t="s">
        <v>30</v>
      </c>
      <c r="BA19" s="57"/>
      <c r="BB19" s="59"/>
      <c r="BC19" s="59"/>
      <c r="BD19" s="59"/>
      <c r="BE19" s="59"/>
    </row>
    <row r="20" spans="2:57" ht="14.45" customHeight="1" x14ac:dyDescent="0.25">
      <c r="B20" s="68"/>
      <c r="C20" s="68"/>
      <c r="D20" s="68"/>
      <c r="E20" s="68"/>
      <c r="F20" s="68"/>
      <c r="G20" s="68"/>
      <c r="H20" s="23"/>
      <c r="K20" s="73"/>
      <c r="L20" s="73"/>
      <c r="M20" s="73"/>
      <c r="N20" s="73"/>
      <c r="AF20" s="29"/>
      <c r="AG20" s="29"/>
      <c r="AH20" s="29"/>
      <c r="AI20" s="24"/>
      <c r="AJ20" s="29"/>
      <c r="AK20" s="29"/>
      <c r="AL20" s="29"/>
      <c r="AM20" s="37"/>
      <c r="AN20" s="47"/>
      <c r="AP20" s="32"/>
      <c r="AQ20" s="39"/>
      <c r="AR20" s="49"/>
      <c r="AX20" s="56"/>
      <c r="AY20" s="58"/>
      <c r="AZ20" s="56"/>
      <c r="BA20" s="57"/>
      <c r="BB20" s="59"/>
      <c r="BC20" s="59"/>
      <c r="BD20" s="59"/>
      <c r="BE20" s="59"/>
    </row>
    <row r="21" spans="2:57" ht="14.45" customHeight="1" x14ac:dyDescent="0.25">
      <c r="B21" s="68"/>
      <c r="C21" s="68"/>
      <c r="D21" s="68"/>
      <c r="E21" s="68"/>
      <c r="F21" s="68"/>
      <c r="G21" s="68"/>
      <c r="H21" s="23"/>
      <c r="K21" s="73"/>
      <c r="L21" s="73"/>
      <c r="M21" s="73"/>
      <c r="N21" s="73"/>
      <c r="AF21" s="29"/>
      <c r="AG21" s="29"/>
      <c r="AH21" s="29"/>
      <c r="AI21" s="24"/>
      <c r="AJ21" s="29"/>
      <c r="AK21" s="29"/>
      <c r="AL21" s="29"/>
      <c r="AM21" s="37"/>
      <c r="AN21" s="47"/>
      <c r="AP21" s="32"/>
      <c r="AQ21" s="39"/>
      <c r="AR21" s="49"/>
      <c r="AX21" s="56" t="s">
        <v>29</v>
      </c>
      <c r="AY21" s="57"/>
      <c r="AZ21" s="56" t="s">
        <v>31</v>
      </c>
      <c r="BA21" s="58"/>
      <c r="BB21" s="59"/>
      <c r="BC21" s="59"/>
      <c r="BD21" s="59"/>
      <c r="BE21" s="59"/>
    </row>
    <row r="22" spans="2:57" x14ac:dyDescent="0.25">
      <c r="B22" s="68"/>
      <c r="C22" s="68"/>
      <c r="D22" s="68"/>
      <c r="E22" s="68"/>
      <c r="F22" s="68"/>
      <c r="G22" s="68"/>
      <c r="H22" s="23"/>
      <c r="K22" s="73"/>
      <c r="L22" s="73"/>
      <c r="M22" s="73"/>
      <c r="N22" s="73"/>
      <c r="AF22" s="29"/>
      <c r="AG22" s="29"/>
      <c r="AH22" s="29"/>
      <c r="AI22" s="24"/>
      <c r="AJ22" s="29"/>
      <c r="AK22" s="29"/>
      <c r="AL22" s="29"/>
      <c r="AM22" s="37"/>
      <c r="AN22" s="47"/>
      <c r="AP22" s="32"/>
      <c r="AQ22" s="39"/>
      <c r="AR22" s="49"/>
      <c r="AX22" s="56"/>
      <c r="AY22" s="57"/>
      <c r="AZ22" s="56"/>
      <c r="BA22" s="58"/>
      <c r="BB22" s="59"/>
      <c r="BC22" s="59"/>
      <c r="BD22" s="59"/>
      <c r="BE22" s="59"/>
    </row>
    <row r="23" spans="2:57" x14ac:dyDescent="0.25">
      <c r="B23" s="68"/>
      <c r="C23" s="68"/>
      <c r="D23" s="68"/>
      <c r="E23" s="68"/>
      <c r="F23" s="68"/>
      <c r="G23" s="68"/>
      <c r="H23" s="23"/>
      <c r="K23" s="73"/>
      <c r="L23" s="73"/>
      <c r="M23" s="73"/>
      <c r="N23" s="73"/>
      <c r="AF23" s="29"/>
      <c r="AG23" s="29"/>
      <c r="AH23" s="29"/>
      <c r="AI23" s="24"/>
      <c r="AJ23" s="29"/>
      <c r="AK23" s="29"/>
      <c r="AL23" s="29"/>
      <c r="AM23" s="37"/>
      <c r="AN23" s="47"/>
      <c r="AP23" s="32"/>
      <c r="AQ23" s="39"/>
      <c r="AR23" s="49"/>
      <c r="AX23" s="56" t="s">
        <v>35</v>
      </c>
      <c r="AY23" s="57"/>
      <c r="AZ23" s="56" t="s">
        <v>32</v>
      </c>
      <c r="BA23" s="58"/>
      <c r="BB23" s="59"/>
      <c r="BC23" s="59"/>
      <c r="BD23" s="59"/>
      <c r="BE23" s="59"/>
    </row>
    <row r="24" spans="2:57" x14ac:dyDescent="0.25">
      <c r="B24" s="68"/>
      <c r="C24" s="68"/>
      <c r="D24" s="68"/>
      <c r="E24" s="68"/>
      <c r="F24" s="68"/>
      <c r="G24" s="68"/>
      <c r="H24" s="23"/>
      <c r="K24" s="73"/>
      <c r="L24" s="73"/>
      <c r="M24" s="73"/>
      <c r="N24" s="73"/>
      <c r="AF24" s="29"/>
      <c r="AG24" s="29"/>
      <c r="AH24" s="29"/>
      <c r="AI24" s="24"/>
      <c r="AJ24" s="29"/>
      <c r="AK24" s="29"/>
      <c r="AL24" s="29"/>
      <c r="AM24" s="37"/>
      <c r="AN24" s="47"/>
      <c r="AP24" s="32"/>
      <c r="AQ24" s="39"/>
      <c r="AR24" s="49"/>
      <c r="AX24" s="56"/>
      <c r="AY24" s="57"/>
      <c r="AZ24" s="56"/>
      <c r="BA24" s="58"/>
      <c r="BB24" s="59"/>
      <c r="BC24" s="59"/>
      <c r="BD24" s="59"/>
      <c r="BE24" s="59"/>
    </row>
    <row r="25" spans="2:57" ht="14.45" customHeight="1" x14ac:dyDescent="0.25">
      <c r="B25" s="68"/>
      <c r="C25" s="68"/>
      <c r="D25" s="68"/>
      <c r="E25" s="68"/>
      <c r="F25" s="68"/>
      <c r="G25" s="68"/>
      <c r="H25" s="23"/>
      <c r="K25" s="73"/>
      <c r="L25" s="73"/>
      <c r="M25" s="73"/>
      <c r="N25" s="73"/>
      <c r="AF25" s="29"/>
      <c r="AG25" s="29"/>
      <c r="AH25" s="29"/>
      <c r="AI25" s="24"/>
      <c r="AJ25" s="29"/>
      <c r="AK25" s="29"/>
      <c r="AL25" s="29"/>
      <c r="AM25" s="37"/>
      <c r="AN25" s="47"/>
      <c r="AP25" s="32"/>
      <c r="AQ25" s="39"/>
      <c r="AR25" s="49"/>
    </row>
    <row r="26" spans="2:57" ht="14.45" customHeight="1" x14ac:dyDescent="0.25">
      <c r="B26" s="68"/>
      <c r="C26" s="68"/>
      <c r="D26" s="68"/>
      <c r="E26" s="68"/>
      <c r="F26" s="68"/>
      <c r="G26" s="68"/>
      <c r="H26" s="23"/>
      <c r="K26" s="73"/>
      <c r="L26" s="73"/>
      <c r="M26" s="73"/>
      <c r="N26" s="73"/>
      <c r="AF26" s="29"/>
      <c r="AG26" s="29"/>
      <c r="AH26" s="29"/>
      <c r="AI26" s="24"/>
      <c r="AJ26" s="29"/>
      <c r="AK26" s="29"/>
      <c r="AL26" s="29"/>
      <c r="AM26" s="37"/>
      <c r="AN26" s="47"/>
      <c r="AP26" s="32"/>
      <c r="AQ26" s="39"/>
      <c r="AR26" s="49"/>
      <c r="AW26" s="27" t="s">
        <v>28</v>
      </c>
      <c r="AX26" s="56" t="s">
        <v>22</v>
      </c>
      <c r="AY26" s="56"/>
      <c r="AZ26" s="56"/>
      <c r="BA26" s="56"/>
      <c r="BB26" s="61" t="s">
        <v>33</v>
      </c>
      <c r="BC26" s="61"/>
      <c r="BD26" s="61"/>
      <c r="BE26" s="61"/>
    </row>
    <row r="27" spans="2:57" ht="14.45" customHeight="1" x14ac:dyDescent="0.25">
      <c r="B27" s="68"/>
      <c r="C27" s="68"/>
      <c r="D27" s="68"/>
      <c r="E27" s="68"/>
      <c r="F27" s="68"/>
      <c r="G27" s="68"/>
      <c r="H27" s="23"/>
      <c r="K27" s="73"/>
      <c r="L27" s="73"/>
      <c r="M27" s="73"/>
      <c r="N27" s="73"/>
      <c r="AF27" s="29"/>
      <c r="AG27" s="29"/>
      <c r="AH27" s="29"/>
      <c r="AI27" s="24"/>
      <c r="AJ27" s="29"/>
      <c r="AK27" s="29"/>
      <c r="AL27" s="29"/>
      <c r="AM27" s="37"/>
      <c r="AN27" s="47"/>
      <c r="AP27" s="32"/>
      <c r="AQ27" s="39"/>
      <c r="AR27" s="49"/>
      <c r="AW27" s="58"/>
      <c r="AX27" s="62"/>
      <c r="AY27" s="63"/>
      <c r="AZ27" s="63"/>
      <c r="BA27" s="64"/>
      <c r="BB27" s="59"/>
      <c r="BC27" s="59"/>
      <c r="BD27" s="59"/>
      <c r="BE27" s="59"/>
    </row>
    <row r="28" spans="2:57" ht="14.45" customHeight="1" x14ac:dyDescent="0.25">
      <c r="B28" s="68"/>
      <c r="C28" s="68"/>
      <c r="D28" s="68"/>
      <c r="E28" s="68"/>
      <c r="F28" s="68"/>
      <c r="G28" s="68"/>
      <c r="H28" s="23"/>
      <c r="K28" s="73"/>
      <c r="L28" s="73"/>
      <c r="M28" s="73"/>
      <c r="N28" s="73"/>
      <c r="AF28" s="29"/>
      <c r="AG28" s="29"/>
      <c r="AH28" s="29"/>
      <c r="AI28" s="24"/>
      <c r="AJ28" s="29"/>
      <c r="AK28" s="29"/>
      <c r="AL28" s="29"/>
      <c r="AM28" s="37"/>
      <c r="AN28" s="47"/>
      <c r="AP28" s="32"/>
      <c r="AQ28" s="39"/>
      <c r="AR28" s="49"/>
      <c r="AW28" s="58"/>
      <c r="AX28" s="65"/>
      <c r="AY28" s="66"/>
      <c r="AZ28" s="66"/>
      <c r="BA28" s="67"/>
      <c r="BB28" s="59"/>
      <c r="BC28" s="59"/>
      <c r="BD28" s="59"/>
      <c r="BE28" s="59"/>
    </row>
    <row r="29" spans="2:57" ht="14.45" customHeight="1" x14ac:dyDescent="0.25">
      <c r="B29" s="68"/>
      <c r="C29" s="68"/>
      <c r="D29" s="68"/>
      <c r="E29" s="68"/>
      <c r="F29" s="68"/>
      <c r="G29" s="68"/>
      <c r="H29" s="23"/>
      <c r="AF29" s="29"/>
      <c r="AG29" s="29"/>
      <c r="AH29" s="29"/>
      <c r="AI29" s="24"/>
      <c r="AJ29" s="29"/>
      <c r="AK29" s="29"/>
      <c r="AL29" s="29"/>
      <c r="AM29" s="37"/>
      <c r="AN29" s="47"/>
      <c r="AP29" s="32"/>
      <c r="AQ29" s="39"/>
      <c r="AR29" s="49"/>
      <c r="AX29" s="26" t="s">
        <v>39</v>
      </c>
      <c r="AY29" s="60"/>
      <c r="AZ29" s="60"/>
      <c r="BA29" s="60"/>
      <c r="BB29" s="59"/>
      <c r="BC29" s="59"/>
      <c r="BD29" s="59"/>
      <c r="BE29" s="59"/>
    </row>
    <row r="30" spans="2:57" ht="14.45" customHeight="1" x14ac:dyDescent="0.25">
      <c r="B30" s="68"/>
      <c r="C30" s="68"/>
      <c r="D30" s="68"/>
      <c r="E30" s="68"/>
      <c r="F30" s="68"/>
      <c r="G30" s="68"/>
      <c r="H30" s="23"/>
      <c r="AF30" s="29"/>
      <c r="AG30" s="29"/>
      <c r="AH30" s="29"/>
      <c r="AI30" s="24"/>
      <c r="AJ30" s="29"/>
      <c r="AK30" s="29"/>
      <c r="AL30" s="29"/>
      <c r="AM30" s="37"/>
      <c r="AN30" s="47"/>
      <c r="AP30" s="32"/>
      <c r="AQ30" s="39"/>
      <c r="AR30" s="49"/>
      <c r="AX30" s="26" t="s">
        <v>37</v>
      </c>
      <c r="AY30" s="60"/>
      <c r="AZ30" s="60"/>
      <c r="BA30" s="60"/>
      <c r="BB30" s="59"/>
      <c r="BC30" s="59"/>
      <c r="BD30" s="59"/>
      <c r="BE30" s="59"/>
    </row>
    <row r="31" spans="2:57" ht="14.45" customHeight="1" x14ac:dyDescent="0.25">
      <c r="B31" s="68"/>
      <c r="C31" s="68"/>
      <c r="D31" s="68"/>
      <c r="E31" s="68"/>
      <c r="F31" s="68"/>
      <c r="G31" s="68"/>
      <c r="H31" s="23"/>
      <c r="AF31" s="29"/>
      <c r="AG31" s="29"/>
      <c r="AH31" s="29"/>
      <c r="AI31" s="24"/>
      <c r="AJ31" s="29"/>
      <c r="AK31" s="29"/>
      <c r="AL31" s="29"/>
      <c r="AM31" s="37"/>
      <c r="AN31" s="47"/>
      <c r="AP31" s="32"/>
      <c r="AQ31" s="39"/>
      <c r="AR31" s="49"/>
      <c r="AX31" s="56" t="s">
        <v>38</v>
      </c>
      <c r="AY31" s="58"/>
      <c r="AZ31" s="56" t="s">
        <v>30</v>
      </c>
      <c r="BA31" s="57"/>
      <c r="BB31" s="59"/>
      <c r="BC31" s="59"/>
      <c r="BD31" s="59"/>
      <c r="BE31" s="59"/>
    </row>
    <row r="32" spans="2:57" ht="14.45" customHeight="1" x14ac:dyDescent="0.25">
      <c r="B32" s="68"/>
      <c r="C32" s="68"/>
      <c r="D32" s="68"/>
      <c r="E32" s="68"/>
      <c r="F32" s="68"/>
      <c r="G32" s="68"/>
      <c r="H32" s="23"/>
      <c r="AF32" s="29"/>
      <c r="AG32" s="29"/>
      <c r="AH32" s="29"/>
      <c r="AI32" s="24"/>
      <c r="AJ32" s="29"/>
      <c r="AK32" s="29"/>
      <c r="AL32" s="29"/>
      <c r="AM32" s="37"/>
      <c r="AN32" s="47"/>
      <c r="AP32" s="32"/>
      <c r="AQ32" s="39"/>
      <c r="AR32" s="49"/>
      <c r="AX32" s="56"/>
      <c r="AY32" s="58"/>
      <c r="AZ32" s="56"/>
      <c r="BA32" s="57"/>
      <c r="BB32" s="59"/>
      <c r="BC32" s="59"/>
      <c r="BD32" s="59"/>
      <c r="BE32" s="59"/>
    </row>
    <row r="33" spans="2:57" x14ac:dyDescent="0.25">
      <c r="B33" s="68"/>
      <c r="C33" s="68"/>
      <c r="D33" s="68"/>
      <c r="E33" s="68"/>
      <c r="F33" s="68"/>
      <c r="G33" s="68"/>
      <c r="H33" s="23"/>
      <c r="AF33" s="29"/>
      <c r="AG33" s="29"/>
      <c r="AH33" s="29"/>
      <c r="AI33" s="24"/>
      <c r="AJ33" s="29"/>
      <c r="AK33" s="29"/>
      <c r="AL33" s="29"/>
      <c r="AM33" s="37"/>
      <c r="AN33" s="47"/>
      <c r="AP33" s="32"/>
      <c r="AQ33" s="39"/>
      <c r="AR33" s="49"/>
      <c r="AX33" s="56" t="s">
        <v>29</v>
      </c>
      <c r="AY33" s="57"/>
      <c r="AZ33" s="56" t="s">
        <v>31</v>
      </c>
      <c r="BA33" s="58"/>
      <c r="BB33" s="59"/>
      <c r="BC33" s="59"/>
      <c r="BD33" s="59"/>
      <c r="BE33" s="59"/>
    </row>
    <row r="34" spans="2:57" x14ac:dyDescent="0.25">
      <c r="B34" s="68"/>
      <c r="C34" s="68"/>
      <c r="D34" s="68"/>
      <c r="E34" s="68"/>
      <c r="F34" s="68"/>
      <c r="G34" s="68"/>
      <c r="H34" s="23"/>
      <c r="AF34" s="29"/>
      <c r="AG34" s="29"/>
      <c r="AH34" s="29"/>
      <c r="AI34" s="24"/>
      <c r="AJ34" s="29"/>
      <c r="AK34" s="29"/>
      <c r="AL34" s="29"/>
      <c r="AM34" s="37"/>
      <c r="AN34" s="47"/>
      <c r="AP34" s="32"/>
      <c r="AQ34" s="39"/>
      <c r="AR34" s="49"/>
      <c r="AX34" s="56"/>
      <c r="AY34" s="57"/>
      <c r="AZ34" s="56"/>
      <c r="BA34" s="58"/>
      <c r="BB34" s="59"/>
      <c r="BC34" s="59"/>
      <c r="BD34" s="59"/>
      <c r="BE34" s="59"/>
    </row>
    <row r="35" spans="2:57" x14ac:dyDescent="0.25">
      <c r="B35" s="68"/>
      <c r="C35" s="68"/>
      <c r="D35" s="68"/>
      <c r="E35" s="68"/>
      <c r="F35" s="68"/>
      <c r="G35" s="68"/>
      <c r="H35" s="23"/>
      <c r="AF35" s="29"/>
      <c r="AG35" s="29"/>
      <c r="AH35" s="29"/>
      <c r="AI35" s="24"/>
      <c r="AJ35" s="29"/>
      <c r="AK35" s="29"/>
      <c r="AL35" s="29"/>
      <c r="AM35" s="37"/>
      <c r="AN35" s="47"/>
      <c r="AP35" s="32"/>
      <c r="AQ35" s="39"/>
      <c r="AR35" s="49"/>
      <c r="AX35" s="56" t="s">
        <v>35</v>
      </c>
      <c r="AY35" s="57"/>
      <c r="AZ35" s="56" t="s">
        <v>32</v>
      </c>
      <c r="BA35" s="58"/>
      <c r="BB35" s="59"/>
      <c r="BC35" s="59"/>
      <c r="BD35" s="59"/>
      <c r="BE35" s="59"/>
    </row>
    <row r="36" spans="2:57" ht="14.45" customHeight="1" x14ac:dyDescent="0.25">
      <c r="B36" s="68"/>
      <c r="C36" s="68"/>
      <c r="D36" s="68"/>
      <c r="E36" s="68"/>
      <c r="F36" s="68"/>
      <c r="G36" s="68"/>
      <c r="H36" s="23"/>
      <c r="AF36" s="29"/>
      <c r="AG36" s="29"/>
      <c r="AH36" s="29"/>
      <c r="AI36" s="24"/>
      <c r="AJ36" s="29"/>
      <c r="AK36" s="29"/>
      <c r="AL36" s="29"/>
      <c r="AM36" s="37"/>
      <c r="AN36" s="47"/>
      <c r="AP36" s="32"/>
      <c r="AQ36" s="39"/>
      <c r="AR36" s="49"/>
      <c r="AX36" s="56"/>
      <c r="AY36" s="57"/>
      <c r="AZ36" s="56"/>
      <c r="BA36" s="58"/>
      <c r="BB36" s="59"/>
      <c r="BC36" s="59"/>
      <c r="BD36" s="59"/>
      <c r="BE36" s="59"/>
    </row>
    <row r="37" spans="2:57" ht="14.45" customHeight="1" x14ac:dyDescent="0.25">
      <c r="B37" s="68"/>
      <c r="C37" s="68"/>
      <c r="D37" s="68"/>
      <c r="E37" s="68"/>
      <c r="F37" s="68"/>
      <c r="G37" s="68"/>
      <c r="H37" s="23"/>
      <c r="AF37" s="29"/>
      <c r="AG37" s="29"/>
      <c r="AH37" s="29"/>
      <c r="AI37" s="24"/>
      <c r="AJ37" s="29"/>
      <c r="AK37" s="29"/>
      <c r="AL37" s="29"/>
      <c r="AM37" s="37"/>
      <c r="AN37" s="47"/>
      <c r="AP37" s="32"/>
      <c r="AQ37" s="39"/>
      <c r="AR37" s="49"/>
    </row>
    <row r="38" spans="2:57" ht="14.45" customHeight="1" x14ac:dyDescent="0.25">
      <c r="B38" s="68"/>
      <c r="C38" s="68"/>
      <c r="D38" s="68"/>
      <c r="E38" s="68"/>
      <c r="F38" s="68"/>
      <c r="G38" s="68"/>
      <c r="H38" s="23"/>
      <c r="AF38" s="29"/>
      <c r="AG38" s="29"/>
      <c r="AH38" s="29"/>
      <c r="AI38" s="24"/>
      <c r="AJ38" s="29"/>
      <c r="AK38" s="29"/>
      <c r="AL38" s="29"/>
      <c r="AM38" s="37"/>
      <c r="AN38" s="47"/>
      <c r="AP38" s="32"/>
      <c r="AQ38" s="39"/>
      <c r="AR38" s="49"/>
      <c r="AW38" s="27" t="s">
        <v>28</v>
      </c>
      <c r="AX38" s="56" t="s">
        <v>22</v>
      </c>
      <c r="AY38" s="56"/>
      <c r="AZ38" s="56"/>
      <c r="BA38" s="56"/>
      <c r="BB38" s="61" t="s">
        <v>33</v>
      </c>
      <c r="BC38" s="61"/>
      <c r="BD38" s="61"/>
      <c r="BE38" s="61"/>
    </row>
    <row r="39" spans="2:57" ht="14.45" customHeight="1" x14ac:dyDescent="0.25">
      <c r="C39" s="19"/>
      <c r="D39" s="19"/>
      <c r="E39" s="19"/>
      <c r="F39" s="19"/>
      <c r="G39" s="19"/>
      <c r="H39" s="19"/>
      <c r="AF39" s="29"/>
      <c r="AG39" s="29"/>
      <c r="AH39" s="29"/>
      <c r="AI39" s="24"/>
      <c r="AJ39" s="29"/>
      <c r="AK39" s="29"/>
      <c r="AL39" s="29"/>
      <c r="AM39" s="37"/>
      <c r="AN39" s="47"/>
      <c r="AP39" s="32"/>
      <c r="AQ39" s="39"/>
      <c r="AR39" s="49"/>
      <c r="AW39" s="58"/>
      <c r="AX39" s="62"/>
      <c r="AY39" s="63"/>
      <c r="AZ39" s="63"/>
      <c r="BA39" s="64"/>
      <c r="BB39" s="59"/>
      <c r="BC39" s="59"/>
      <c r="BD39" s="59"/>
      <c r="BE39" s="59"/>
    </row>
    <row r="40" spans="2:57" ht="14.45" customHeight="1" x14ac:dyDescent="0.25">
      <c r="C40" s="19"/>
      <c r="D40" s="19"/>
      <c r="E40" s="19"/>
      <c r="F40" s="19"/>
      <c r="G40" s="19"/>
      <c r="H40" s="19"/>
      <c r="AF40" s="29"/>
      <c r="AG40" s="29"/>
      <c r="AH40" s="29"/>
      <c r="AI40" s="24"/>
      <c r="AJ40" s="29"/>
      <c r="AK40" s="29"/>
      <c r="AL40" s="29"/>
      <c r="AM40" s="37"/>
      <c r="AN40" s="47"/>
      <c r="AP40" s="32"/>
      <c r="AQ40" s="39"/>
      <c r="AR40" s="49"/>
      <c r="AW40" s="58"/>
      <c r="AX40" s="65"/>
      <c r="AY40" s="66"/>
      <c r="AZ40" s="66"/>
      <c r="BA40" s="67"/>
      <c r="BB40" s="59"/>
      <c r="BC40" s="59"/>
      <c r="BD40" s="59"/>
      <c r="BE40" s="59"/>
    </row>
    <row r="41" spans="2:57" ht="14.45" customHeight="1" x14ac:dyDescent="0.25">
      <c r="AF41" s="29"/>
      <c r="AG41" s="29"/>
      <c r="AH41" s="29"/>
      <c r="AI41" s="24"/>
      <c r="AJ41" s="29"/>
      <c r="AK41" s="29"/>
      <c r="AL41" s="29"/>
      <c r="AM41" s="37"/>
      <c r="AN41" s="47"/>
      <c r="AP41" s="32"/>
      <c r="AQ41" s="39"/>
      <c r="AR41" s="49"/>
      <c r="AX41" s="26" t="s">
        <v>39</v>
      </c>
      <c r="AY41" s="60"/>
      <c r="AZ41" s="60"/>
      <c r="BA41" s="60"/>
      <c r="BB41" s="59"/>
      <c r="BC41" s="59"/>
      <c r="BD41" s="59"/>
      <c r="BE41" s="59"/>
    </row>
    <row r="42" spans="2:57" ht="14.45" customHeight="1" x14ac:dyDescent="0.25">
      <c r="AF42" s="29"/>
      <c r="AG42" s="29"/>
      <c r="AH42" s="29"/>
      <c r="AI42" s="24"/>
      <c r="AJ42" s="29"/>
      <c r="AK42" s="29"/>
      <c r="AL42" s="29"/>
      <c r="AM42" s="37"/>
      <c r="AN42" s="47"/>
      <c r="AP42" s="32"/>
      <c r="AQ42" s="39"/>
      <c r="AR42" s="49"/>
      <c r="AX42" s="26" t="s">
        <v>37</v>
      </c>
      <c r="AY42" s="60"/>
      <c r="AZ42" s="60"/>
      <c r="BA42" s="60"/>
      <c r="BB42" s="59"/>
      <c r="BC42" s="59"/>
      <c r="BD42" s="59"/>
      <c r="BE42" s="59"/>
    </row>
    <row r="43" spans="2:57" ht="14.45" customHeight="1" x14ac:dyDescent="0.25">
      <c r="AF43" s="29"/>
      <c r="AG43" s="29"/>
      <c r="AH43" s="29"/>
      <c r="AI43" s="24"/>
      <c r="AJ43" s="29"/>
      <c r="AK43" s="29"/>
      <c r="AL43" s="29"/>
      <c r="AM43" s="37"/>
      <c r="AN43" s="47"/>
      <c r="AP43" s="32"/>
      <c r="AQ43" s="39"/>
      <c r="AR43" s="49"/>
      <c r="AX43" s="56" t="s">
        <v>38</v>
      </c>
      <c r="AY43" s="58"/>
      <c r="AZ43" s="56" t="s">
        <v>30</v>
      </c>
      <c r="BA43" s="57"/>
      <c r="BB43" s="59"/>
      <c r="BC43" s="59"/>
      <c r="BD43" s="59"/>
      <c r="BE43" s="59"/>
    </row>
    <row r="44" spans="2:57" x14ac:dyDescent="0.25">
      <c r="AF44" s="29"/>
      <c r="AG44" s="29"/>
      <c r="AH44" s="29"/>
      <c r="AI44" s="24"/>
      <c r="AJ44" s="29"/>
      <c r="AK44" s="29"/>
      <c r="AL44" s="29"/>
      <c r="AM44" s="37"/>
      <c r="AN44" s="47"/>
      <c r="AP44" s="32"/>
      <c r="AQ44" s="39"/>
      <c r="AR44" s="49"/>
      <c r="AX44" s="56"/>
      <c r="AY44" s="58"/>
      <c r="AZ44" s="56"/>
      <c r="BA44" s="57"/>
      <c r="BB44" s="59"/>
      <c r="BC44" s="59"/>
      <c r="BD44" s="59"/>
      <c r="BE44" s="59"/>
    </row>
    <row r="45" spans="2:57" x14ac:dyDescent="0.25">
      <c r="AF45" s="29"/>
      <c r="AG45" s="29"/>
      <c r="AH45" s="29"/>
      <c r="AI45" s="24"/>
      <c r="AJ45" s="29"/>
      <c r="AK45" s="29"/>
      <c r="AL45" s="29"/>
      <c r="AM45" s="37"/>
      <c r="AN45" s="47"/>
      <c r="AP45" s="32"/>
      <c r="AQ45" s="39"/>
      <c r="AR45" s="49"/>
      <c r="AX45" s="56" t="s">
        <v>29</v>
      </c>
      <c r="AY45" s="57"/>
      <c r="AZ45" s="56" t="s">
        <v>31</v>
      </c>
      <c r="BA45" s="58"/>
      <c r="BB45" s="59"/>
      <c r="BC45" s="59"/>
      <c r="BD45" s="59"/>
      <c r="BE45" s="59"/>
    </row>
    <row r="46" spans="2:57" x14ac:dyDescent="0.25">
      <c r="AF46" s="29"/>
      <c r="AG46" s="29"/>
      <c r="AH46" s="29"/>
      <c r="AI46" s="24"/>
      <c r="AJ46" s="29"/>
      <c r="AK46" s="29"/>
      <c r="AL46" s="29"/>
      <c r="AM46" s="37"/>
      <c r="AN46" s="47"/>
      <c r="AX46" s="56"/>
      <c r="AY46" s="57"/>
      <c r="AZ46" s="56"/>
      <c r="BA46" s="58"/>
      <c r="BB46" s="59"/>
      <c r="BC46" s="59"/>
      <c r="BD46" s="59"/>
      <c r="BE46" s="59"/>
    </row>
    <row r="47" spans="2:57" ht="14.45" customHeight="1" x14ac:dyDescent="0.25">
      <c r="AF47" s="29"/>
      <c r="AG47" s="29"/>
      <c r="AH47" s="29"/>
      <c r="AI47" s="24"/>
      <c r="AJ47" s="29"/>
      <c r="AK47" s="29"/>
      <c r="AL47" s="29"/>
      <c r="AM47" s="37"/>
      <c r="AN47" s="47"/>
      <c r="AX47" s="56" t="s">
        <v>35</v>
      </c>
      <c r="AY47" s="57"/>
      <c r="AZ47" s="56" t="s">
        <v>32</v>
      </c>
      <c r="BA47" s="58"/>
      <c r="BB47" s="59"/>
      <c r="BC47" s="59"/>
      <c r="BD47" s="59"/>
      <c r="BE47" s="59"/>
    </row>
    <row r="48" spans="2:57" ht="14.45" customHeight="1" x14ac:dyDescent="0.25">
      <c r="AF48" s="29"/>
      <c r="AG48" s="29"/>
      <c r="AH48" s="29"/>
      <c r="AI48" s="24"/>
      <c r="AJ48" s="29"/>
      <c r="AK48" s="29"/>
      <c r="AL48" s="29"/>
      <c r="AM48" s="37"/>
      <c r="AN48" s="47"/>
      <c r="AX48" s="56"/>
      <c r="AY48" s="57"/>
      <c r="AZ48" s="56"/>
      <c r="BA48" s="58"/>
      <c r="BB48" s="59"/>
      <c r="BC48" s="59"/>
      <c r="BD48" s="59"/>
      <c r="BE48" s="59"/>
    </row>
    <row r="49" spans="32:57" ht="14.45" customHeight="1" x14ac:dyDescent="0.25">
      <c r="AF49" s="29"/>
      <c r="AG49" s="29"/>
      <c r="AH49" s="29"/>
      <c r="AI49" s="24"/>
      <c r="AJ49" s="29"/>
      <c r="AK49" s="29"/>
      <c r="AL49" s="29"/>
      <c r="AM49" s="37"/>
      <c r="AN49" s="47"/>
    </row>
    <row r="50" spans="32:57" ht="14.45" customHeight="1" x14ac:dyDescent="0.25">
      <c r="AW50" s="27" t="s">
        <v>28</v>
      </c>
      <c r="AX50" s="56" t="s">
        <v>22</v>
      </c>
      <c r="AY50" s="56"/>
      <c r="AZ50" s="56"/>
      <c r="BA50" s="56"/>
      <c r="BB50" s="61" t="s">
        <v>33</v>
      </c>
      <c r="BC50" s="61"/>
      <c r="BD50" s="61"/>
      <c r="BE50" s="61"/>
    </row>
    <row r="51" spans="32:57" ht="14.45" customHeight="1" x14ac:dyDescent="0.25">
      <c r="AW51" s="58"/>
      <c r="AX51" s="62"/>
      <c r="AY51" s="63"/>
      <c r="AZ51" s="63"/>
      <c r="BA51" s="64"/>
      <c r="BB51" s="59"/>
      <c r="BC51" s="59"/>
      <c r="BD51" s="59"/>
      <c r="BE51" s="59"/>
    </row>
    <row r="52" spans="32:57" ht="14.45" customHeight="1" x14ac:dyDescent="0.25">
      <c r="AW52" s="58"/>
      <c r="AX52" s="65"/>
      <c r="AY52" s="66"/>
      <c r="AZ52" s="66"/>
      <c r="BA52" s="67"/>
      <c r="BB52" s="59"/>
      <c r="BC52" s="59"/>
      <c r="BD52" s="59"/>
      <c r="BE52" s="59"/>
    </row>
    <row r="53" spans="32:57" ht="14.45" customHeight="1" x14ac:dyDescent="0.25">
      <c r="AX53" s="26" t="s">
        <v>39</v>
      </c>
      <c r="AY53" s="60"/>
      <c r="AZ53" s="60"/>
      <c r="BA53" s="60"/>
      <c r="BB53" s="59"/>
      <c r="BC53" s="59"/>
      <c r="BD53" s="59"/>
      <c r="BE53" s="59"/>
    </row>
    <row r="54" spans="32:57" ht="14.45" customHeight="1" x14ac:dyDescent="0.25">
      <c r="AX54" s="26" t="s">
        <v>37</v>
      </c>
      <c r="AY54" s="60"/>
      <c r="AZ54" s="60"/>
      <c r="BA54" s="60"/>
      <c r="BB54" s="59"/>
      <c r="BC54" s="59"/>
      <c r="BD54" s="59"/>
      <c r="BE54" s="59"/>
    </row>
    <row r="55" spans="32:57" x14ac:dyDescent="0.25">
      <c r="AX55" s="56" t="s">
        <v>38</v>
      </c>
      <c r="AY55" s="58"/>
      <c r="AZ55" s="56" t="s">
        <v>30</v>
      </c>
      <c r="BA55" s="57"/>
      <c r="BB55" s="59"/>
      <c r="BC55" s="59"/>
      <c r="BD55" s="59"/>
      <c r="BE55" s="59"/>
    </row>
    <row r="56" spans="32:57" x14ac:dyDescent="0.25">
      <c r="AX56" s="56"/>
      <c r="AY56" s="58"/>
      <c r="AZ56" s="56"/>
      <c r="BA56" s="57"/>
      <c r="BB56" s="59"/>
      <c r="BC56" s="59"/>
      <c r="BD56" s="59"/>
      <c r="BE56" s="59"/>
    </row>
    <row r="57" spans="32:57" x14ac:dyDescent="0.25">
      <c r="AX57" s="56" t="s">
        <v>29</v>
      </c>
      <c r="AY57" s="57"/>
      <c r="AZ57" s="56" t="s">
        <v>31</v>
      </c>
      <c r="BA57" s="58"/>
      <c r="BB57" s="59"/>
      <c r="BC57" s="59"/>
      <c r="BD57" s="59"/>
      <c r="BE57" s="59"/>
    </row>
    <row r="58" spans="32:57" x14ac:dyDescent="0.25">
      <c r="AX58" s="56"/>
      <c r="AY58" s="57"/>
      <c r="AZ58" s="56"/>
      <c r="BA58" s="58"/>
      <c r="BB58" s="59"/>
      <c r="BC58" s="59"/>
      <c r="BD58" s="59"/>
      <c r="BE58" s="59"/>
    </row>
    <row r="59" spans="32:57" x14ac:dyDescent="0.25">
      <c r="AX59" s="56" t="s">
        <v>35</v>
      </c>
      <c r="AY59" s="57"/>
      <c r="AZ59" s="56" t="s">
        <v>32</v>
      </c>
      <c r="BA59" s="58"/>
      <c r="BB59" s="59"/>
      <c r="BC59" s="59"/>
      <c r="BD59" s="59"/>
      <c r="BE59" s="59"/>
    </row>
    <row r="60" spans="32:57" x14ac:dyDescent="0.25">
      <c r="AX60" s="56"/>
      <c r="AY60" s="57"/>
      <c r="AZ60" s="56"/>
      <c r="BA60" s="58"/>
      <c r="BB60" s="59"/>
      <c r="BC60" s="59"/>
      <c r="BD60" s="59"/>
      <c r="BE60" s="59"/>
    </row>
    <row r="62" spans="32:57" x14ac:dyDescent="0.25">
      <c r="AW62" s="27" t="s">
        <v>28</v>
      </c>
      <c r="AX62" s="56" t="s">
        <v>22</v>
      </c>
      <c r="AY62" s="56"/>
      <c r="AZ62" s="56"/>
      <c r="BA62" s="56"/>
      <c r="BB62" s="61" t="s">
        <v>33</v>
      </c>
      <c r="BC62" s="61"/>
      <c r="BD62" s="61"/>
      <c r="BE62" s="61"/>
    </row>
    <row r="63" spans="32:57" x14ac:dyDescent="0.25">
      <c r="AW63" s="58"/>
      <c r="AX63" s="62"/>
      <c r="AY63" s="63"/>
      <c r="AZ63" s="63"/>
      <c r="BA63" s="64"/>
      <c r="BB63" s="59"/>
      <c r="BC63" s="59"/>
      <c r="BD63" s="59"/>
      <c r="BE63" s="59"/>
    </row>
    <row r="64" spans="32:57" x14ac:dyDescent="0.25">
      <c r="AW64" s="58"/>
      <c r="AX64" s="65"/>
      <c r="AY64" s="66"/>
      <c r="AZ64" s="66"/>
      <c r="BA64" s="67"/>
      <c r="BB64" s="59"/>
      <c r="BC64" s="59"/>
      <c r="BD64" s="59"/>
      <c r="BE64" s="59"/>
    </row>
    <row r="65" spans="50:57" x14ac:dyDescent="0.25">
      <c r="AX65" s="26" t="s">
        <v>39</v>
      </c>
      <c r="AY65" s="60"/>
      <c r="AZ65" s="60"/>
      <c r="BA65" s="60"/>
      <c r="BB65" s="59"/>
      <c r="BC65" s="59"/>
      <c r="BD65" s="59"/>
      <c r="BE65" s="59"/>
    </row>
    <row r="66" spans="50:57" x14ac:dyDescent="0.25">
      <c r="AX66" s="26" t="s">
        <v>37</v>
      </c>
      <c r="AY66" s="60"/>
      <c r="AZ66" s="60"/>
      <c r="BA66" s="60"/>
      <c r="BB66" s="59"/>
      <c r="BC66" s="59"/>
      <c r="BD66" s="59"/>
      <c r="BE66" s="59"/>
    </row>
    <row r="67" spans="50:57" x14ac:dyDescent="0.25">
      <c r="AX67" s="56" t="s">
        <v>38</v>
      </c>
      <c r="AY67" s="58"/>
      <c r="AZ67" s="56" t="s">
        <v>30</v>
      </c>
      <c r="BA67" s="57"/>
      <c r="BB67" s="59"/>
      <c r="BC67" s="59"/>
      <c r="BD67" s="59"/>
      <c r="BE67" s="59"/>
    </row>
    <row r="68" spans="50:57" x14ac:dyDescent="0.25">
      <c r="AX68" s="56"/>
      <c r="AY68" s="58"/>
      <c r="AZ68" s="56"/>
      <c r="BA68" s="57"/>
      <c r="BB68" s="59"/>
      <c r="BC68" s="59"/>
      <c r="BD68" s="59"/>
      <c r="BE68" s="59"/>
    </row>
    <row r="69" spans="50:57" x14ac:dyDescent="0.25">
      <c r="AX69" s="56" t="s">
        <v>29</v>
      </c>
      <c r="AY69" s="57"/>
      <c r="AZ69" s="56" t="s">
        <v>31</v>
      </c>
      <c r="BA69" s="58"/>
      <c r="BB69" s="59"/>
      <c r="BC69" s="59"/>
      <c r="BD69" s="59"/>
      <c r="BE69" s="59"/>
    </row>
    <row r="70" spans="50:57" x14ac:dyDescent="0.25">
      <c r="AX70" s="56"/>
      <c r="AY70" s="57"/>
      <c r="AZ70" s="56"/>
      <c r="BA70" s="58"/>
      <c r="BB70" s="59"/>
      <c r="BC70" s="59"/>
      <c r="BD70" s="59"/>
      <c r="BE70" s="59"/>
    </row>
    <row r="71" spans="50:57" x14ac:dyDescent="0.25">
      <c r="AX71" s="56" t="s">
        <v>35</v>
      </c>
      <c r="AY71" s="57"/>
      <c r="AZ71" s="56" t="s">
        <v>32</v>
      </c>
      <c r="BA71" s="58"/>
      <c r="BB71" s="59"/>
      <c r="BC71" s="59"/>
      <c r="BD71" s="59"/>
      <c r="BE71" s="59"/>
    </row>
    <row r="72" spans="50:57" x14ac:dyDescent="0.25">
      <c r="AX72" s="56"/>
      <c r="AY72" s="57"/>
      <c r="AZ72" s="56"/>
      <c r="BA72" s="58"/>
      <c r="BB72" s="59"/>
      <c r="BC72" s="59"/>
      <c r="BD72" s="59"/>
      <c r="BE72" s="59"/>
    </row>
  </sheetData>
  <mergeCells count="187">
    <mergeCell ref="X2:Y2"/>
    <mergeCell ref="X7:Y7"/>
    <mergeCell ref="T2:U2"/>
    <mergeCell ref="T9:U9"/>
    <mergeCell ref="T3:U4"/>
    <mergeCell ref="T10:U11"/>
    <mergeCell ref="T16:U16"/>
    <mergeCell ref="T17:U18"/>
    <mergeCell ref="AC3:AD4"/>
    <mergeCell ref="AC2:AD2"/>
    <mergeCell ref="AC11:AD11"/>
    <mergeCell ref="AC8:AD8"/>
    <mergeCell ref="AC5:AD5"/>
    <mergeCell ref="AD9:AD10"/>
    <mergeCell ref="AD6:AD7"/>
    <mergeCell ref="AC12:AD13"/>
    <mergeCell ref="AX2:BA2"/>
    <mergeCell ref="AY5:BA5"/>
    <mergeCell ref="AY6:BA6"/>
    <mergeCell ref="AX21:AX22"/>
    <mergeCell ref="AY21:AY22"/>
    <mergeCell ref="BB2:BE2"/>
    <mergeCell ref="BA7:BA8"/>
    <mergeCell ref="BA9:BA10"/>
    <mergeCell ref="AW3:AW4"/>
    <mergeCell ref="BB3:BE4"/>
    <mergeCell ref="BB5:BE6"/>
    <mergeCell ref="BB7:BE8"/>
    <mergeCell ref="BB9:BE10"/>
    <mergeCell ref="AX9:AX10"/>
    <mergeCell ref="AX7:AX8"/>
    <mergeCell ref="AY9:AY10"/>
    <mergeCell ref="AY7:AY8"/>
    <mergeCell ref="AZ9:AZ10"/>
    <mergeCell ref="AZ7:AZ8"/>
    <mergeCell ref="AZ21:AZ22"/>
    <mergeCell ref="BA21:BA22"/>
    <mergeCell ref="BB21:BE22"/>
    <mergeCell ref="AX3:BA4"/>
    <mergeCell ref="BA43:BA44"/>
    <mergeCell ref="BB43:BE44"/>
    <mergeCell ref="AX31:AX32"/>
    <mergeCell ref="AY31:AY32"/>
    <mergeCell ref="AZ31:AZ32"/>
    <mergeCell ref="BA31:BA32"/>
    <mergeCell ref="BB31:BE32"/>
    <mergeCell ref="AX35:AX36"/>
    <mergeCell ref="AY35:AY36"/>
    <mergeCell ref="AZ35:AZ36"/>
    <mergeCell ref="BA35:BA36"/>
    <mergeCell ref="BB35:BE36"/>
    <mergeCell ref="AX38:BA38"/>
    <mergeCell ref="BB38:BE38"/>
    <mergeCell ref="AX23:AX24"/>
    <mergeCell ref="AY23:AY24"/>
    <mergeCell ref="AZ23:AZ24"/>
    <mergeCell ref="BA23:BA24"/>
    <mergeCell ref="BB23:BE24"/>
    <mergeCell ref="BB11:BE12"/>
    <mergeCell ref="AX11:AX12"/>
    <mergeCell ref="BA11:BA12"/>
    <mergeCell ref="AY11:AY12"/>
    <mergeCell ref="AZ11:AZ12"/>
    <mergeCell ref="AX19:AX20"/>
    <mergeCell ref="AY19:AY20"/>
    <mergeCell ref="AZ19:AZ20"/>
    <mergeCell ref="BA19:BA20"/>
    <mergeCell ref="BB19:BE20"/>
    <mergeCell ref="F6:G6"/>
    <mergeCell ref="B14:G18"/>
    <mergeCell ref="AU6:AU7"/>
    <mergeCell ref="AU3:AU4"/>
    <mergeCell ref="AX14:BA14"/>
    <mergeCell ref="BB14:BE14"/>
    <mergeCell ref="AW15:AW16"/>
    <mergeCell ref="AX15:BA16"/>
    <mergeCell ref="BB15:BE16"/>
    <mergeCell ref="AY17:BA17"/>
    <mergeCell ref="BB17:BE18"/>
    <mergeCell ref="AY18:BA18"/>
    <mergeCell ref="AU9:AU10"/>
    <mergeCell ref="Q8:R9"/>
    <mergeCell ref="AN7:AN8"/>
    <mergeCell ref="B29:G33"/>
    <mergeCell ref="B34:G38"/>
    <mergeCell ref="Q3:R5"/>
    <mergeCell ref="Q7:R7"/>
    <mergeCell ref="B8:G8"/>
    <mergeCell ref="B9:G13"/>
    <mergeCell ref="Q2:R2"/>
    <mergeCell ref="M2:N2"/>
    <mergeCell ref="K2:L2"/>
    <mergeCell ref="K3:L4"/>
    <mergeCell ref="M3:N4"/>
    <mergeCell ref="K11:N11"/>
    <mergeCell ref="K12:N13"/>
    <mergeCell ref="K14:N28"/>
    <mergeCell ref="K8:K9"/>
    <mergeCell ref="L8:N9"/>
    <mergeCell ref="B19:G23"/>
    <mergeCell ref="B24:G28"/>
    <mergeCell ref="B2:G3"/>
    <mergeCell ref="F5:G5"/>
    <mergeCell ref="D5:E5"/>
    <mergeCell ref="B5:C5"/>
    <mergeCell ref="B6:C6"/>
    <mergeCell ref="D6:E6"/>
    <mergeCell ref="AW27:AW28"/>
    <mergeCell ref="AX27:BA28"/>
    <mergeCell ref="AY29:BA29"/>
    <mergeCell ref="AY30:BA30"/>
    <mergeCell ref="AX26:BA26"/>
    <mergeCell ref="BB26:BE26"/>
    <mergeCell ref="BB29:BE30"/>
    <mergeCell ref="BB27:BE28"/>
    <mergeCell ref="AX33:AX34"/>
    <mergeCell ref="AY33:AY34"/>
    <mergeCell ref="AZ33:AZ34"/>
    <mergeCell ref="BA33:BA34"/>
    <mergeCell ref="BB33:BE34"/>
    <mergeCell ref="AW39:AW40"/>
    <mergeCell ref="AX39:BA40"/>
    <mergeCell ref="BB39:BE40"/>
    <mergeCell ref="AX50:BA50"/>
    <mergeCell ref="BB50:BE50"/>
    <mergeCell ref="AW51:AW52"/>
    <mergeCell ref="AX51:BA52"/>
    <mergeCell ref="BB51:BE52"/>
    <mergeCell ref="BB47:BE48"/>
    <mergeCell ref="AX45:AX46"/>
    <mergeCell ref="AY45:AY46"/>
    <mergeCell ref="AZ45:AZ46"/>
    <mergeCell ref="BA45:BA46"/>
    <mergeCell ref="BB45:BE46"/>
    <mergeCell ref="AX47:AX48"/>
    <mergeCell ref="AY47:AY48"/>
    <mergeCell ref="AZ47:AZ48"/>
    <mergeCell ref="BA47:BA48"/>
    <mergeCell ref="AY41:BA41"/>
    <mergeCell ref="BB41:BE42"/>
    <mergeCell ref="AY42:BA42"/>
    <mergeCell ref="AX43:AX44"/>
    <mergeCell ref="AY43:AY44"/>
    <mergeCell ref="AZ43:AZ44"/>
    <mergeCell ref="BB59:BE60"/>
    <mergeCell ref="AX62:BA62"/>
    <mergeCell ref="BB62:BE62"/>
    <mergeCell ref="AW63:AW64"/>
    <mergeCell ref="AX63:BA64"/>
    <mergeCell ref="BB63:BE64"/>
    <mergeCell ref="AY53:BA53"/>
    <mergeCell ref="BB53:BE54"/>
    <mergeCell ref="AY54:BA54"/>
    <mergeCell ref="AX55:AX56"/>
    <mergeCell ref="AY55:AY56"/>
    <mergeCell ref="AZ55:AZ56"/>
    <mergeCell ref="BA55:BA56"/>
    <mergeCell ref="BB55:BE56"/>
    <mergeCell ref="AX57:AX58"/>
    <mergeCell ref="AY57:AY58"/>
    <mergeCell ref="AZ57:AZ58"/>
    <mergeCell ref="BA57:BA58"/>
    <mergeCell ref="BB57:BE58"/>
    <mergeCell ref="AX71:AX72"/>
    <mergeCell ref="AY71:AY72"/>
    <mergeCell ref="AZ71:AZ72"/>
    <mergeCell ref="BA71:BA72"/>
    <mergeCell ref="BB71:BE72"/>
    <mergeCell ref="AC6:AC7"/>
    <mergeCell ref="AC9:AC10"/>
    <mergeCell ref="AY65:BA65"/>
    <mergeCell ref="BB65:BE66"/>
    <mergeCell ref="AY66:BA66"/>
    <mergeCell ref="AX67:AX68"/>
    <mergeCell ref="AY67:AY68"/>
    <mergeCell ref="AZ67:AZ68"/>
    <mergeCell ref="BA67:BA68"/>
    <mergeCell ref="BB67:BE68"/>
    <mergeCell ref="AX69:AX70"/>
    <mergeCell ref="AY69:AY70"/>
    <mergeCell ref="AZ69:AZ70"/>
    <mergeCell ref="BA69:BA70"/>
    <mergeCell ref="BB69:BE70"/>
    <mergeCell ref="AX59:AX60"/>
    <mergeCell ref="AY59:AY60"/>
    <mergeCell ref="AZ59:AZ60"/>
    <mergeCell ref="BA59:BA6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23</xdr:col>
                    <xdr:colOff>9525</xdr:colOff>
                    <xdr:row>2</xdr:row>
                    <xdr:rowOff>9525</xdr:rowOff>
                  </from>
                  <to>
                    <xdr:col>24</xdr:col>
                    <xdr:colOff>904875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23</xdr:col>
                    <xdr:colOff>9525</xdr:colOff>
                    <xdr:row>4</xdr:row>
                    <xdr:rowOff>9525</xdr:rowOff>
                  </from>
                  <to>
                    <xdr:col>24</xdr:col>
                    <xdr:colOff>904875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23</xdr:col>
                    <xdr:colOff>9525</xdr:colOff>
                    <xdr:row>3</xdr:row>
                    <xdr:rowOff>9525</xdr:rowOff>
                  </from>
                  <to>
                    <xdr:col>24</xdr:col>
                    <xdr:colOff>904875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23</xdr:col>
                    <xdr:colOff>9525</xdr:colOff>
                    <xdr:row>7</xdr:row>
                    <xdr:rowOff>9525</xdr:rowOff>
                  </from>
                  <to>
                    <xdr:col>24</xdr:col>
                    <xdr:colOff>904875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23</xdr:col>
                    <xdr:colOff>9525</xdr:colOff>
                    <xdr:row>8</xdr:row>
                    <xdr:rowOff>9525</xdr:rowOff>
                  </from>
                  <to>
                    <xdr:col>24</xdr:col>
                    <xdr:colOff>904875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23</xdr:col>
                    <xdr:colOff>9525</xdr:colOff>
                    <xdr:row>9</xdr:row>
                    <xdr:rowOff>9525</xdr:rowOff>
                  </from>
                  <to>
                    <xdr:col>24</xdr:col>
                    <xdr:colOff>904875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23</xdr:col>
                    <xdr:colOff>9525</xdr:colOff>
                    <xdr:row>10</xdr:row>
                    <xdr:rowOff>9525</xdr:rowOff>
                  </from>
                  <to>
                    <xdr:col>24</xdr:col>
                    <xdr:colOff>904875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23</xdr:col>
                    <xdr:colOff>9525</xdr:colOff>
                    <xdr:row>11</xdr:row>
                    <xdr:rowOff>9525</xdr:rowOff>
                  </from>
                  <to>
                    <xdr:col>24</xdr:col>
                    <xdr:colOff>904875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23</xdr:col>
                    <xdr:colOff>9525</xdr:colOff>
                    <xdr:row>12</xdr:row>
                    <xdr:rowOff>9525</xdr:rowOff>
                  </from>
                  <to>
                    <xdr:col>24</xdr:col>
                    <xdr:colOff>904875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23</xdr:col>
                    <xdr:colOff>9525</xdr:colOff>
                    <xdr:row>13</xdr:row>
                    <xdr:rowOff>9525</xdr:rowOff>
                  </from>
                  <to>
                    <xdr:col>24</xdr:col>
                    <xdr:colOff>904875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23</xdr:col>
                    <xdr:colOff>9525</xdr:colOff>
                    <xdr:row>14</xdr:row>
                    <xdr:rowOff>9525</xdr:rowOff>
                  </from>
                  <to>
                    <xdr:col>24</xdr:col>
                    <xdr:colOff>904875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23</xdr:col>
                    <xdr:colOff>9525</xdr:colOff>
                    <xdr:row>15</xdr:row>
                    <xdr:rowOff>9525</xdr:rowOff>
                  </from>
                  <to>
                    <xdr:col>24</xdr:col>
                    <xdr:colOff>904875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Check Box 25">
              <controlPr defaultSize="0" autoFill="0" autoLine="0" autoPict="0">
                <anchor moveWithCells="1">
                  <from>
                    <xdr:col>23</xdr:col>
                    <xdr:colOff>9525</xdr:colOff>
                    <xdr:row>16</xdr:row>
                    <xdr:rowOff>9525</xdr:rowOff>
                  </from>
                  <to>
                    <xdr:col>24</xdr:col>
                    <xdr:colOff>904875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7" name="Button 34">
              <controlPr defaultSize="0" print="0" autoFill="0" autoPict="0" macro="[0]!Dama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Button 41">
              <controlPr defaultSize="0" print="0" autoFill="0" autoPict="0" macro="[0]!Repair">
                <anchor moveWithCells="1">
                  <from>
                    <xdr:col>17</xdr:col>
                    <xdr:colOff>9525</xdr:colOff>
                    <xdr:row>10</xdr:row>
                    <xdr:rowOff>0</xdr:rowOff>
                  </from>
                  <to>
                    <xdr:col>18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9" name="Button 42">
              <controlPr defaultSize="0" print="0" autoFill="0" autoPict="0" macro="[0]!Damage_noDT">
                <anchor moveWithCells="1">
                  <from>
                    <xdr:col>16</xdr:col>
                    <xdr:colOff>0</xdr:colOff>
                    <xdr:row>12</xdr:row>
                    <xdr:rowOff>9525</xdr:rowOff>
                  </from>
                  <to>
                    <xdr:col>17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0" name="Button 43">
              <controlPr defaultSize="0" print="0" autoFill="0" autoPict="0" macro="[0]!Reset_HP">
                <anchor moveWithCells="1">
                  <from>
                    <xdr:col>17</xdr:col>
                    <xdr:colOff>9525</xdr:colOff>
                    <xdr:row>12</xdr:row>
                    <xdr:rowOff>9525</xdr:rowOff>
                  </from>
                  <to>
                    <xdr:col>18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Tables!$B$1:$B$10</xm:f>
          </x14:formula1>
          <xm:sqref>D6:E6</xm:sqref>
        </x14:dataValidation>
        <x14:dataValidation type="list" allowBlank="1" showInputMessage="1" showErrorMessage="1" xr:uid="{00000000-0002-0000-0000-000001000000}">
          <x14:formula1>
            <xm:f>Tables!$F$1:$F$7</xm:f>
          </x14:formula1>
          <xm:sqref>F6:G6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3"/>
  <sheetViews>
    <sheetView workbookViewId="0">
      <selection activeCell="J24" sqref="J24"/>
    </sheetView>
  </sheetViews>
  <sheetFormatPr defaultRowHeight="15" x14ac:dyDescent="0.25"/>
  <cols>
    <col min="2" max="2" width="9.140625" style="1"/>
    <col min="3" max="3" width="9.140625" style="3"/>
    <col min="6" max="6" width="9.140625" style="1"/>
    <col min="7" max="8" width="9.140625" style="2"/>
    <col min="9" max="9" width="9.140625" style="3"/>
    <col min="12" max="12" width="8.85546875" style="1"/>
    <col min="13" max="13" width="8.85546875" style="3"/>
    <col min="15" max="15" width="9.140625" customWidth="1"/>
  </cols>
  <sheetData>
    <row r="1" spans="1:13" x14ac:dyDescent="0.25">
      <c r="A1" t="s">
        <v>4</v>
      </c>
      <c r="B1" s="4" t="s">
        <v>5</v>
      </c>
      <c r="C1" s="5">
        <v>11</v>
      </c>
      <c r="E1" t="s">
        <v>14</v>
      </c>
      <c r="F1" s="4" t="s">
        <v>60</v>
      </c>
      <c r="G1" s="6">
        <v>3</v>
      </c>
      <c r="H1" s="6">
        <v>8</v>
      </c>
      <c r="I1" s="5" t="s">
        <v>70</v>
      </c>
      <c r="J1" s="51" t="s">
        <v>73</v>
      </c>
      <c r="K1" t="s">
        <v>18</v>
      </c>
      <c r="L1" s="4">
        <v>100</v>
      </c>
      <c r="M1" s="5">
        <v>0</v>
      </c>
    </row>
    <row r="2" spans="1:13" x14ac:dyDescent="0.25">
      <c r="B2" s="1" t="s">
        <v>6</v>
      </c>
      <c r="C2" s="3">
        <v>12</v>
      </c>
      <c r="F2" s="1" t="s">
        <v>61</v>
      </c>
      <c r="G2" s="2">
        <v>2</v>
      </c>
      <c r="H2" s="2">
        <v>6</v>
      </c>
      <c r="I2" s="3" t="str">
        <f>""</f>
        <v/>
      </c>
      <c r="J2" t="s">
        <v>73</v>
      </c>
      <c r="L2" s="1">
        <v>300</v>
      </c>
      <c r="M2" s="3">
        <v>10</v>
      </c>
    </row>
    <row r="3" spans="1:13" x14ac:dyDescent="0.25">
      <c r="B3" s="1" t="s">
        <v>7</v>
      </c>
      <c r="C3" s="3">
        <v>13</v>
      </c>
      <c r="F3" s="1" t="s">
        <v>62</v>
      </c>
      <c r="G3" s="2">
        <v>2</v>
      </c>
      <c r="H3" s="2">
        <v>4</v>
      </c>
      <c r="I3" s="3" t="str">
        <f>""</f>
        <v/>
      </c>
      <c r="J3" t="s">
        <v>73</v>
      </c>
      <c r="L3" s="1">
        <v>500</v>
      </c>
      <c r="M3" s="3">
        <v>15</v>
      </c>
    </row>
    <row r="4" spans="1:13" x14ac:dyDescent="0.25">
      <c r="B4" s="1" t="s">
        <v>8</v>
      </c>
      <c r="C4" s="3">
        <v>13</v>
      </c>
      <c r="F4" s="1" t="s">
        <v>63</v>
      </c>
      <c r="G4" s="51">
        <v>1</v>
      </c>
      <c r="H4" s="51">
        <v>2</v>
      </c>
      <c r="I4" s="3" t="str">
        <f>""</f>
        <v/>
      </c>
      <c r="J4" t="s">
        <v>73</v>
      </c>
      <c r="L4" s="1">
        <v>1000</v>
      </c>
      <c r="M4" s="3">
        <v>20</v>
      </c>
    </row>
    <row r="5" spans="1:13" x14ac:dyDescent="0.25">
      <c r="B5" s="1" t="s">
        <v>9</v>
      </c>
      <c r="C5" s="3">
        <v>13</v>
      </c>
      <c r="F5" s="1" t="s">
        <v>64</v>
      </c>
      <c r="G5" s="51">
        <v>1</v>
      </c>
      <c r="H5" s="51">
        <v>0</v>
      </c>
      <c r="I5" s="3" t="str">
        <f>""</f>
        <v/>
      </c>
      <c r="J5" t="s">
        <v>73</v>
      </c>
      <c r="L5" s="1">
        <v>1500</v>
      </c>
      <c r="M5" s="3">
        <v>25</v>
      </c>
    </row>
    <row r="6" spans="1:13" x14ac:dyDescent="0.25">
      <c r="B6" s="1" t="s">
        <v>10</v>
      </c>
      <c r="C6" s="3">
        <v>14</v>
      </c>
      <c r="F6" s="1" t="s">
        <v>65</v>
      </c>
      <c r="G6" s="51">
        <v>1</v>
      </c>
      <c r="H6" s="51">
        <v>-2</v>
      </c>
      <c r="I6" s="3" t="s">
        <v>71</v>
      </c>
      <c r="J6" t="s">
        <v>73</v>
      </c>
      <c r="L6" s="1" t="s">
        <v>19</v>
      </c>
      <c r="M6" s="3">
        <v>30</v>
      </c>
    </row>
    <row r="7" spans="1:13" x14ac:dyDescent="0.25">
      <c r="B7" s="1" t="s">
        <v>2</v>
      </c>
      <c r="C7" s="3">
        <v>15</v>
      </c>
      <c r="F7" s="1" t="s">
        <v>66</v>
      </c>
      <c r="G7" s="51">
        <v>0</v>
      </c>
      <c r="H7" s="51">
        <v>-4</v>
      </c>
      <c r="I7" s="3" t="s">
        <v>72</v>
      </c>
      <c r="J7" t="s">
        <v>73</v>
      </c>
    </row>
    <row r="8" spans="1:13" x14ac:dyDescent="0.25">
      <c r="B8" s="1" t="s">
        <v>11</v>
      </c>
      <c r="C8" s="3">
        <v>15</v>
      </c>
      <c r="J8" t="s">
        <v>73</v>
      </c>
    </row>
    <row r="9" spans="1:13" x14ac:dyDescent="0.25">
      <c r="B9" s="1" t="s">
        <v>12</v>
      </c>
      <c r="C9" s="3">
        <v>17</v>
      </c>
      <c r="J9" t="s">
        <v>73</v>
      </c>
    </row>
    <row r="10" spans="1:13" x14ac:dyDescent="0.25">
      <c r="B10" s="1" t="s">
        <v>13</v>
      </c>
      <c r="C10" s="3">
        <v>19</v>
      </c>
      <c r="J10" t="s">
        <v>73</v>
      </c>
    </row>
    <row r="11" spans="1:13" x14ac:dyDescent="0.25">
      <c r="J11" t="s">
        <v>73</v>
      </c>
    </row>
    <row r="12" spans="1:13" x14ac:dyDescent="0.25">
      <c r="J12" t="s">
        <v>73</v>
      </c>
    </row>
    <row r="13" spans="1:13" x14ac:dyDescent="0.25">
      <c r="J13" t="s">
        <v>73</v>
      </c>
    </row>
    <row r="14" spans="1:13" x14ac:dyDescent="0.25">
      <c r="J14" t="s">
        <v>73</v>
      </c>
    </row>
    <row r="16" spans="1:13" x14ac:dyDescent="0.25">
      <c r="J16" t="s">
        <v>73</v>
      </c>
    </row>
    <row r="17" spans="10:10" x14ac:dyDescent="0.25">
      <c r="J17" t="s">
        <v>73</v>
      </c>
    </row>
    <row r="18" spans="10:10" x14ac:dyDescent="0.25">
      <c r="J18" t="s">
        <v>73</v>
      </c>
    </row>
    <row r="19" spans="10:10" x14ac:dyDescent="0.25">
      <c r="J19" t="s">
        <v>73</v>
      </c>
    </row>
    <row r="20" spans="10:10" x14ac:dyDescent="0.25">
      <c r="J20" t="s">
        <v>73</v>
      </c>
    </row>
    <row r="21" spans="10:10" x14ac:dyDescent="0.25">
      <c r="J21" t="s">
        <v>73</v>
      </c>
    </row>
    <row r="22" spans="10:10" x14ac:dyDescent="0.25">
      <c r="J22" t="s">
        <v>73</v>
      </c>
    </row>
    <row r="23" spans="10:10" x14ac:dyDescent="0.25">
      <c r="J23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Ship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2020-09-03T03:13:01Z</dcterms:created>
  <dcterms:modified xsi:type="dcterms:W3CDTF">2021-10-02T19:52:20Z</dcterms:modified>
</cp:coreProperties>
</file>